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I Calculator" sheetId="1" state="visible" r:id="rId1"/>
    <sheet xmlns:r="http://schemas.openxmlformats.org/officeDocument/2006/relationships" name="Sensitivity" sheetId="2" state="visible" r:id="rId2"/>
    <sheet xmlns:r="http://schemas.openxmlformats.org/officeDocument/2006/relationships" name="Assumptions &amp; Sources"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Calibri"/>
      <b val="1"/>
      <color rgb="000B1F33"/>
      <sz val="16"/>
    </font>
    <font>
      <name val="Calibri"/>
      <i val="1"/>
      <color rgb="001F6F78"/>
      <sz val="10"/>
    </font>
    <font>
      <name val="Calibri"/>
      <b val="1"/>
      <color rgb="00FFFFFF"/>
      <sz val="11"/>
    </font>
    <font>
      <b val="1"/>
      <color rgb="000B1F33"/>
      <sz val="13"/>
    </font>
    <font>
      <b val="1"/>
      <color rgb="009B2C2C"/>
    </font>
  </fonts>
  <fills count="3">
    <fill>
      <patternFill/>
    </fill>
    <fill>
      <patternFill patternType="gray125"/>
    </fill>
    <fill>
      <patternFill patternType="solid">
        <fgColor rgb="000B1F33"/>
      </patternFill>
    </fill>
  </fills>
  <borders count="2">
    <border>
      <left/>
      <right/>
      <top/>
      <bottom/>
      <diagonal/>
    </border>
    <border>
      <left style="thin">
        <color rgb="00D0CBC3"/>
      </left>
      <right style="thin">
        <color rgb="00D0CBC3"/>
      </right>
      <top style="thin">
        <color rgb="00D0CBC3"/>
      </top>
      <bottom style="thin">
        <color rgb="00D0CBC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pivotButton="0" quotePrefix="0" xfId="0"/>
    <xf numFmtId="4" fontId="0" fillId="0" borderId="1" pivotButton="0" quotePrefix="0" xfId="0"/>
    <xf numFmtId="164" fontId="0" fillId="0" borderId="1" pivotButton="0" quotePrefix="0" xfId="0"/>
    <xf numFmtId="0" fontId="4" fillId="0" borderId="0" pivotButton="0" quotePrefix="0" xfId="0"/>
    <xf numFmtId="165" fontId="0" fillId="0" borderId="1" pivotButton="0" quotePrefix="0" xfId="0"/>
    <xf numFmtId="0" fontId="5" fillId="0" borderId="0" pivotButton="0" quotePrefix="0" xfId="0"/>
    <xf numFmtId="0" fontId="0" fillId="0" borderId="0" applyAlignment="1" pivotButton="0" quotePrefix="0" xfId="0">
      <alignment wrapText="1"/>
    </xf>
    <xf numFmtId="9"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Evidence Room — AP Agent Business Case Calculator</t>
        </is>
      </c>
    </row>
    <row r="2">
      <c r="A2" s="2" t="inlineStr">
        <is>
          <t>Illustrative model. Not a guarantee of savings. External benchmarks: Ardent Partners 2025.</t>
        </is>
      </c>
    </row>
    <row r="3"/>
    <row r="4">
      <c r="A4" s="3" t="inlineStr">
        <is>
          <t>Input</t>
        </is>
      </c>
      <c r="B4" s="3" t="inlineStr">
        <is>
          <t>Value</t>
        </is>
      </c>
      <c r="C4" s="3" t="inlineStr">
        <is>
          <t>Unit</t>
        </is>
      </c>
      <c r="D4" s="3" t="inlineStr">
        <is>
          <t>Notes</t>
        </is>
      </c>
    </row>
    <row r="5">
      <c r="A5" s="4" t="inlineStr">
        <is>
          <t>Monthly invoice volume</t>
        </is>
      </c>
      <c r="B5" s="5" t="n">
        <v>15000</v>
      </c>
      <c r="C5" s="4" t="inlineStr">
        <is>
          <t>invoices</t>
        </is>
      </c>
      <c r="D5" s="4" t="inlineStr">
        <is>
          <t>Organisation-specific</t>
        </is>
      </c>
    </row>
    <row r="6">
      <c r="A6" s="4" t="inlineStr">
        <is>
          <t>AP FTE headcount</t>
        </is>
      </c>
      <c r="B6" s="5" t="n">
        <v>12</v>
      </c>
      <c r="C6" s="4" t="inlineStr">
        <is>
          <t>FTE</t>
        </is>
      </c>
      <c r="D6" s="4" t="inlineStr">
        <is>
          <t>AP processing + exceptions</t>
        </is>
      </c>
    </row>
    <row r="7">
      <c r="A7" s="4" t="inlineStr">
        <is>
          <t>Fully loaded cost per FTE (annual)</t>
        </is>
      </c>
      <c r="B7" s="5" t="n">
        <v>85000</v>
      </c>
      <c r="C7" s="4" t="inlineStr">
        <is>
          <t>USD</t>
        </is>
      </c>
      <c r="D7" s="4" t="inlineStr">
        <is>
          <t>Salary + benefits + overhead</t>
        </is>
      </c>
    </row>
    <row r="8">
      <c r="A8" s="4" t="inlineStr">
        <is>
          <t>Manual-touch percentage</t>
        </is>
      </c>
      <c r="B8" s="6" t="n">
        <v>0.55</v>
      </c>
      <c r="C8" s="4" t="inlineStr">
        <is>
          <t>%</t>
        </is>
      </c>
      <c r="D8" s="4" t="inlineStr">
        <is>
          <t>Share requiring human touch</t>
        </is>
      </c>
    </row>
    <row r="9">
      <c r="A9" s="4" t="inlineStr">
        <is>
          <t>Exception rate</t>
        </is>
      </c>
      <c r="B9" s="6" t="n">
        <v>0.184</v>
      </c>
      <c r="C9" s="4" t="inlineStr">
        <is>
          <t>%</t>
        </is>
      </c>
      <c r="D9" s="4" t="inlineStr">
        <is>
          <t>Default = Ardent 2025 average 18.4%</t>
        </is>
      </c>
    </row>
    <row r="10">
      <c r="A10" s="4" t="inlineStr">
        <is>
          <t>Avg exception resolution minutes</t>
        </is>
      </c>
      <c r="B10" s="5" t="n">
        <v>18</v>
      </c>
      <c r="C10" s="4" t="inlineStr">
        <is>
          <t>minutes</t>
        </is>
      </c>
      <c r="D10" s="4" t="inlineStr">
        <is>
          <t>Organisation-specific</t>
        </is>
      </c>
    </row>
    <row r="11">
      <c r="A11" s="4" t="inlineStr">
        <is>
          <t>Duplicate invoice rate</t>
        </is>
      </c>
      <c r="B11" s="6" t="n">
        <v>0.008</v>
      </c>
      <c r="C11" s="4" t="inlineStr">
        <is>
          <t>%</t>
        </is>
      </c>
      <c r="D11" s="4" t="inlineStr">
        <is>
          <t>Detected duplicates / invoices</t>
        </is>
      </c>
    </row>
    <row r="12">
      <c r="A12" s="4" t="inlineStr">
        <is>
          <t>Late-payment cost per month</t>
        </is>
      </c>
      <c r="B12" s="5" t="n">
        <v>4500</v>
      </c>
      <c r="C12" s="4" t="inlineStr">
        <is>
          <t>USD</t>
        </is>
      </c>
      <c r="D12" s="4" t="inlineStr">
        <is>
          <t>Fees, lost discounts, cash drag</t>
        </is>
      </c>
    </row>
    <row r="13">
      <c r="A13" s="4" t="inlineStr">
        <is>
          <t>Early-payment discount opportunity / mo</t>
        </is>
      </c>
      <c r="B13" s="5" t="n">
        <v>3200</v>
      </c>
      <c r="C13" s="4" t="inlineStr">
        <is>
          <t>USD</t>
        </is>
      </c>
      <c r="D13" s="4" t="inlineStr">
        <is>
          <t>Recoverable if cycle improves</t>
        </is>
      </c>
    </row>
    <row r="14">
      <c r="A14" s="4" t="inlineStr">
        <is>
          <t>Current processing cost / invoice</t>
        </is>
      </c>
      <c r="B14" s="5" t="n">
        <v>9.84</v>
      </c>
      <c r="C14" s="4" t="inlineStr">
        <is>
          <t>USD</t>
        </is>
      </c>
      <c r="D14" s="4" t="inlineStr">
        <is>
          <t>Default = Ardent 2025 average</t>
        </is>
      </c>
    </row>
    <row r="15">
      <c r="A15" s="4" t="inlineStr">
        <is>
          <t>AI / tooling cost per month</t>
        </is>
      </c>
      <c r="B15" s="5" t="n">
        <v>2500</v>
      </c>
      <c r="C15" s="4" t="inlineStr">
        <is>
          <t>USD</t>
        </is>
      </c>
      <c r="D15" s="4" t="inlineStr">
        <is>
          <t>LLM + orchestration + monitoring</t>
        </is>
      </c>
    </row>
    <row r="16">
      <c r="A16" s="4" t="inlineStr">
        <is>
          <t>Implementation cost (one-time)</t>
        </is>
      </c>
      <c r="B16" s="5" t="n">
        <v>45000</v>
      </c>
      <c r="C16" s="4" t="inlineStr">
        <is>
          <t>USD</t>
        </is>
      </c>
      <c r="D16" s="4" t="inlineStr">
        <is>
          <t>Internal + external</t>
        </is>
      </c>
    </row>
    <row r="17">
      <c r="A17" s="4" t="inlineStr">
        <is>
          <t>Conservative efficiency gain</t>
        </is>
      </c>
      <c r="B17" s="6" t="n">
        <v>0.12</v>
      </c>
      <c r="C17" s="4" t="inlineStr">
        <is>
          <t>%</t>
        </is>
      </c>
      <c r="D17" s="4" t="inlineStr">
        <is>
          <t>Hours released / touch reduction</t>
        </is>
      </c>
    </row>
    <row r="18">
      <c r="A18" s="4" t="inlineStr">
        <is>
          <t>Base efficiency gain</t>
        </is>
      </c>
      <c r="B18" s="6" t="n">
        <v>0.22</v>
      </c>
      <c r="C18" s="4" t="inlineStr">
        <is>
          <t>%</t>
        </is>
      </c>
      <c r="D18" s="4" t="inlineStr">
        <is>
          <t>Illustrative mid case</t>
        </is>
      </c>
    </row>
    <row r="19">
      <c r="A19" s="4" t="inlineStr">
        <is>
          <t>Upside efficiency gain</t>
        </is>
      </c>
      <c r="B19" s="6" t="n">
        <v>0.35</v>
      </c>
      <c r="C19" s="4" t="inlineStr">
        <is>
          <t>%</t>
        </is>
      </c>
      <c r="D19" s="4" t="inlineStr">
        <is>
          <t>Requires strong data + controls</t>
        </is>
      </c>
    </row>
    <row r="20">
      <c r="A20" s="4" t="inlineStr">
        <is>
          <t>External avg cost benchmark</t>
        </is>
      </c>
      <c r="B20" s="5" t="n">
        <v>9.84</v>
      </c>
      <c r="C20" s="4" t="inlineStr">
        <is>
          <t>USD</t>
        </is>
      </c>
      <c r="D20" s="4" t="inlineStr">
        <is>
          <t>Ardent Partners 2025</t>
        </is>
      </c>
    </row>
    <row r="21">
      <c r="A21" s="4" t="inlineStr">
        <is>
          <t>External BIC cost benchmark</t>
        </is>
      </c>
      <c r="B21" s="5" t="n">
        <v>2.65</v>
      </c>
      <c r="C21" s="4" t="inlineStr">
        <is>
          <t>USD</t>
        </is>
      </c>
      <c r="D21" s="4" t="inlineStr">
        <is>
          <t>Ardent Partners 2025 Best-in-Class</t>
        </is>
      </c>
    </row>
    <row r="22"/>
    <row r="23"/>
    <row r="24">
      <c r="A24" s="7" t="inlineStr">
        <is>
          <t>Scenario Outputs</t>
        </is>
      </c>
    </row>
    <row r="25">
      <c r="A25" s="3" t="inlineStr">
        <is>
          <t>Metric</t>
        </is>
      </c>
      <c r="B25" s="3" t="inlineStr">
        <is>
          <t>Conservative</t>
        </is>
      </c>
      <c r="C25" s="3" t="inlineStr">
        <is>
          <t>Base</t>
        </is>
      </c>
      <c r="D25" s="3" t="inlineStr">
        <is>
          <t>Upside</t>
        </is>
      </c>
      <c r="E25" s="3" t="inlineStr">
        <is>
          <t>Formula / definition</t>
        </is>
      </c>
    </row>
    <row r="26">
      <c r="A26" s="4" t="inlineStr">
        <is>
          <t>Baseline annual AP labour cost</t>
        </is>
      </c>
      <c r="B26" s="5">
        <f>B6*B7</f>
        <v/>
      </c>
      <c r="C26" s="5">
        <f>B6*B7</f>
        <v/>
      </c>
      <c r="D26" s="5">
        <f>B6*B7</f>
        <v/>
      </c>
      <c r="E26" s="4" t="inlineStr">
        <is>
          <t>FTE × fully loaded cost</t>
        </is>
      </c>
    </row>
    <row r="27">
      <c r="A27" s="4" t="inlineStr">
        <is>
          <t>Baseline annual processing cost (volume × CPI)</t>
        </is>
      </c>
      <c r="B27" s="5">
        <f>B5*12*B14</f>
        <v/>
      </c>
      <c r="C27" s="5">
        <f>B5*12*B14</f>
        <v/>
      </c>
      <c r="D27" s="5">
        <f>B5*12*B14</f>
        <v/>
      </c>
      <c r="E27" s="4" t="inlineStr">
        <is>
          <t>Monthly volume × 12 × cost/invoice</t>
        </is>
      </c>
    </row>
    <row r="28">
      <c r="A28" s="4" t="inlineStr">
        <is>
          <t>Estimated annual hours released</t>
        </is>
      </c>
      <c r="B28" s="8">
        <f>B5*12*B8*B9*(B10/60)*B17</f>
        <v/>
      </c>
      <c r="C28" s="8">
        <f>B5*12*B8*B9*(B10/60)*B18</f>
        <v/>
      </c>
      <c r="D28" s="8">
        <f>B5*12*B8*B9*(B10/60)*B19</f>
        <v/>
      </c>
      <c r="E28" s="4" t="inlineStr">
        <is>
          <t>Volume × manual% × exception% × hours × efficiency</t>
        </is>
      </c>
    </row>
    <row r="29">
      <c r="A29" s="4" t="inlineStr">
        <is>
          <t>Labour capacity value released</t>
        </is>
      </c>
      <c r="B29" s="5">
        <f>B26*B17</f>
        <v/>
      </c>
      <c r="C29" s="5">
        <f>B26*B18</f>
        <v/>
      </c>
      <c r="D29" s="5">
        <f>B26*B19</f>
        <v/>
      </c>
      <c r="E29" s="4" t="inlineStr">
        <is>
          <t>Baseline labour × efficiency (capacity, not cash)</t>
        </is>
      </c>
    </row>
    <row r="30">
      <c r="A30" s="4" t="inlineStr">
        <is>
          <t>Exception-cost reduction (illustrative)</t>
        </is>
      </c>
      <c r="B30" s="5">
        <f>(B5*12*B9*(B10/60)*(B7/1800))*B17</f>
        <v/>
      </c>
      <c r="C30" s="5">
        <f>(B5*12*B9*(B10/60)*(B7/1800))*B18</f>
        <v/>
      </c>
      <c r="D30" s="5">
        <f>(B5*12*B9*(B10/60)*(B7/1800))*B19</f>
        <v/>
      </c>
      <c r="E30" s="4" t="inlineStr">
        <is>
          <t>Exception hours × hourly rate × efficiency</t>
        </is>
      </c>
    </row>
    <row r="31">
      <c r="A31" s="4" t="inlineStr">
        <is>
          <t>Late-payment + discount opportunity</t>
        </is>
      </c>
      <c r="B31" s="5">
        <f>(B12+B13)*12*B17</f>
        <v/>
      </c>
      <c r="C31" s="5">
        <f>(B12+B13)*12*B18</f>
        <v/>
      </c>
      <c r="D31" s="5">
        <f>(B12+B13)*12*B19</f>
        <v/>
      </c>
      <c r="E31" s="4" t="inlineStr">
        <is>
          <t>Cash-related opportunity × efficiency</t>
        </is>
      </c>
    </row>
    <row r="32">
      <c r="A32" s="4" t="inlineStr">
        <is>
          <t>Gross annual benefit (illustrative)</t>
        </is>
      </c>
      <c r="B32" s="5">
        <f>B29+B30+B31</f>
        <v/>
      </c>
      <c r="C32" s="5">
        <f>C29+C30+C31</f>
        <v/>
      </c>
      <c r="D32" s="5">
        <f>D29+D30+D31</f>
        <v/>
      </c>
      <c r="E32" s="4" t="inlineStr">
        <is>
          <t>Capacity + exception + cash opportunity</t>
        </is>
      </c>
    </row>
    <row r="33">
      <c r="A33" s="4" t="inlineStr">
        <is>
          <t>Annual AI / tool cost</t>
        </is>
      </c>
      <c r="B33" s="5">
        <f>B15*12</f>
        <v/>
      </c>
      <c r="C33" s="5">
        <f>B15*12</f>
        <v/>
      </c>
      <c r="D33" s="5">
        <f>B15*12</f>
        <v/>
      </c>
      <c r="E33" s="4" t="inlineStr">
        <is>
          <t>Monthly AI cost × 12</t>
        </is>
      </c>
    </row>
    <row r="34">
      <c r="A34" s="4" t="inlineStr">
        <is>
          <t>Net annual benefit (before payback of impl)</t>
        </is>
      </c>
      <c r="B34" s="4">
        <f>B32-B33</f>
        <v/>
      </c>
      <c r="C34" s="4">
        <f>C32-C33</f>
        <v/>
      </c>
      <c r="D34" s="4">
        <f>D32-D33</f>
        <v/>
      </c>
      <c r="E34" s="4" t="inlineStr">
        <is>
          <t>Gross − AI cost</t>
        </is>
      </c>
    </row>
    <row r="35">
      <c r="A35" s="4" t="inlineStr">
        <is>
          <t>Simple payback (months)</t>
        </is>
      </c>
      <c r="B35" s="4">
        <f>IF(B34&lt;=0,"N/A",B16/(B34/12))</f>
        <v/>
      </c>
      <c r="C35" s="4">
        <f>IF(C34&lt;=0,"N/A",B16/(C34/12))</f>
        <v/>
      </c>
      <c r="D35" s="4">
        <f>IF(D34&lt;=0,"N/A",B16/(D34/12))</f>
        <v/>
      </c>
      <c r="E35" s="4" t="inlineStr">
        <is>
          <t>Implementation / (net monthly benefit)</t>
        </is>
      </c>
    </row>
    <row r="36">
      <c r="A36" s="4" t="inlineStr">
        <is>
          <t>Year-1 ROI (illustrative)</t>
        </is>
      </c>
      <c r="B36" s="6">
        <f>IF((B16+B33)=0,"N/A",(B34-B16)/(B16+B33))</f>
        <v/>
      </c>
      <c r="C36" s="6">
        <f>IF((B16+C33)=0,"N/A",(C34-B16)/(B16+C33))</f>
        <v/>
      </c>
      <c r="D36" s="6">
        <f>IF((B16+D33)=0,"N/A",(D34-B16)/(B16+D33))</f>
        <v/>
      </c>
      <c r="E36" s="4" t="inlineStr">
        <is>
          <t>(Net Y1 − impl) / (impl + AI Y1)</t>
        </is>
      </c>
    </row>
    <row r="37">
      <c r="A37" s="4" t="inlineStr">
        <is>
          <t>Gap to BIC cost benchmark (per invoice)</t>
        </is>
      </c>
      <c r="B37" s="5">
        <f>B14-B21</f>
        <v/>
      </c>
      <c r="C37" s="5">
        <f>B14-B21</f>
        <v/>
      </c>
      <c r="D37" s="5">
        <f>B14-B21</f>
        <v/>
      </c>
      <c r="E37" s="4" t="inlineStr">
        <is>
          <t>Your CPI − Ardent BIC $2.65 (context only)</t>
        </is>
      </c>
    </row>
    <row r="38"/>
    <row r="39"/>
    <row r="40">
      <c r="A40" s="9" t="inlineStr">
        <is>
          <t>DISCLAIMER</t>
        </is>
      </c>
    </row>
    <row r="41">
      <c r="A41" s="10" t="inlineStr">
        <is>
          <t>Illustrative planning model only. Does not guarantee savings, ROI, fraud prevention, regulatory compliance, accounting accuracy, or autonomous payment safety. Validate all inputs with your finance leaders. External benchmarks are industry research context, not targets.</t>
        </is>
      </c>
    </row>
    <row r="42"/>
    <row r="43"/>
  </sheetData>
  <mergeCells count="1">
    <mergeCell ref="A41:E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7" customWidth="1" min="1" max="1"/>
    <col width="42" customWidth="1" min="2" max="2"/>
    <col width="42" customWidth="1" min="3" max="3"/>
    <col width="42" customWidth="1" min="4" max="4"/>
    <col width="42" customWidth="1" min="5" max="5"/>
  </cols>
  <sheetData>
    <row r="1">
      <c r="A1" s="1" t="inlineStr">
        <is>
          <t>Sensitivity — efficiency vs AI cost</t>
        </is>
      </c>
    </row>
    <row r="2">
      <c r="A2" s="2" t="inlineStr">
        <is>
          <t>Illustrative heat map inputs</t>
        </is>
      </c>
    </row>
    <row r="3"/>
    <row r="4">
      <c r="A4" s="3" t="inlineStr">
        <is>
          <t>Efficiency \ Monthly AI $</t>
        </is>
      </c>
      <c r="B4" s="3" t="n">
        <v>1000</v>
      </c>
      <c r="C4" s="3" t="n">
        <v>2500</v>
      </c>
      <c r="D4" s="3" t="n">
        <v>5000</v>
      </c>
      <c r="E4" s="3" t="n">
        <v>10000</v>
      </c>
    </row>
    <row r="5">
      <c r="A5" s="11" t="n">
        <v>0.1</v>
      </c>
      <c r="B5" s="12">
        <f>('ROI Calculator'!B6*'ROI Calculator'!B7*0.1)-(1000*12)</f>
        <v/>
      </c>
      <c r="C5" s="12">
        <f>('ROI Calculator'!B6*'ROI Calculator'!B7*0.1)-(2500*12)</f>
        <v/>
      </c>
      <c r="D5" s="12">
        <f>('ROI Calculator'!B6*'ROI Calculator'!B7*0.1)-(5000*12)</f>
        <v/>
      </c>
      <c r="E5" s="12">
        <f>('ROI Calculator'!B6*'ROI Calculator'!B7*0.1)-(10000*12)</f>
        <v/>
      </c>
    </row>
    <row r="6">
      <c r="A6" s="11" t="n">
        <v>0.15</v>
      </c>
      <c r="B6" s="12">
        <f>('ROI Calculator'!B6*'ROI Calculator'!B7*0.15)-(1000*12)</f>
        <v/>
      </c>
      <c r="C6" s="12">
        <f>('ROI Calculator'!B6*'ROI Calculator'!B7*0.15)-(2500*12)</f>
        <v/>
      </c>
      <c r="D6" s="12">
        <f>('ROI Calculator'!B6*'ROI Calculator'!B7*0.15)-(5000*12)</f>
        <v/>
      </c>
      <c r="E6" s="12">
        <f>('ROI Calculator'!B6*'ROI Calculator'!B7*0.15)-(10000*12)</f>
        <v/>
      </c>
    </row>
    <row r="7">
      <c r="A7" s="11" t="n">
        <v>0.22</v>
      </c>
      <c r="B7" s="12">
        <f>('ROI Calculator'!B6*'ROI Calculator'!B7*0.22)-(1000*12)</f>
        <v/>
      </c>
      <c r="C7" s="12">
        <f>('ROI Calculator'!B6*'ROI Calculator'!B7*0.22)-(2500*12)</f>
        <v/>
      </c>
      <c r="D7" s="12">
        <f>('ROI Calculator'!B6*'ROI Calculator'!B7*0.22)-(5000*12)</f>
        <v/>
      </c>
      <c r="E7" s="12">
        <f>('ROI Calculator'!B6*'ROI Calculator'!B7*0.22)-(10000*12)</f>
        <v/>
      </c>
    </row>
    <row r="8">
      <c r="A8" s="11" t="n">
        <v>0.3</v>
      </c>
      <c r="B8" s="12">
        <f>('ROI Calculator'!B6*'ROI Calculator'!B7*0.3)-(1000*12)</f>
        <v/>
      </c>
      <c r="C8" s="12">
        <f>('ROI Calculator'!B6*'ROI Calculator'!B7*0.3)-(2500*12)</f>
        <v/>
      </c>
      <c r="D8" s="12">
        <f>('ROI Calculator'!B6*'ROI Calculator'!B7*0.3)-(5000*12)</f>
        <v/>
      </c>
      <c r="E8" s="12">
        <f>('ROI Calculator'!B6*'ROI Calculator'!B7*0.3)-(10000*12)</f>
        <v/>
      </c>
    </row>
    <row r="9">
      <c r="A9" s="11" t="n">
        <v>0.35</v>
      </c>
      <c r="B9" s="12">
        <f>('ROI Calculator'!B6*'ROI Calculator'!B7*0.35)-(1000*12)</f>
        <v/>
      </c>
      <c r="C9" s="12">
        <f>('ROI Calculator'!B6*'ROI Calculator'!B7*0.35)-(2500*12)</f>
        <v/>
      </c>
      <c r="D9" s="12">
        <f>('ROI Calculator'!B6*'ROI Calculator'!B7*0.35)-(5000*12)</f>
        <v/>
      </c>
      <c r="E9" s="12">
        <f>('ROI Calculator'!B6*'ROI Calculator'!B7*0.35)-(10000*12)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9" customWidth="1" min="1" max="1"/>
    <col width="21" customWidth="1" min="2" max="2"/>
    <col width="42" customWidth="1" min="3" max="3"/>
  </cols>
  <sheetData>
    <row r="1">
      <c r="A1" s="1" t="inlineStr">
        <is>
          <t>Assumptions &amp; Sources</t>
        </is>
      </c>
    </row>
    <row r="2"/>
    <row r="3"/>
    <row r="4">
      <c r="A4" s="3" t="inlineStr">
        <is>
          <t>Item</t>
        </is>
      </c>
      <c r="B4" s="3" t="inlineStr">
        <is>
          <t>Value</t>
        </is>
      </c>
      <c r="C4" s="3" t="inlineStr">
        <is>
          <t>Classification</t>
        </is>
      </c>
    </row>
    <row r="5">
      <c r="A5" s="4" t="inlineStr">
        <is>
          <t>Ardent Partners 2025 avg cost/invoice</t>
        </is>
      </c>
      <c r="B5" s="4" t="inlineStr">
        <is>
          <t>$9.84</t>
        </is>
      </c>
      <c r="C5" s="4" t="inlineStr">
        <is>
          <t>Independent research (Bottomline distribution)</t>
        </is>
      </c>
    </row>
    <row r="6">
      <c r="A6" s="4" t="inlineStr">
        <is>
          <t>Ardent Partners 2025 BIC cost/invoice</t>
        </is>
      </c>
      <c r="B6" s="4" t="inlineStr">
        <is>
          <t>$2.65</t>
        </is>
      </c>
      <c r="C6" s="4" t="inlineStr">
        <is>
          <t>Independent research</t>
        </is>
      </c>
    </row>
    <row r="7">
      <c r="A7" s="4" t="inlineStr">
        <is>
          <t>Ardent Partners 2025 exception rate</t>
        </is>
      </c>
      <c r="B7" s="4" t="inlineStr">
        <is>
          <t>18.4%</t>
        </is>
      </c>
      <c r="C7" s="4" t="inlineStr">
        <is>
          <t>Independent research</t>
        </is>
      </c>
    </row>
    <row r="8">
      <c r="A8" s="4" t="inlineStr">
        <is>
          <t>Ardent Partners 2025 STP</t>
        </is>
      </c>
      <c r="B8" s="4" t="inlineStr">
        <is>
          <t>35.4%</t>
        </is>
      </c>
      <c r="C8" s="4" t="inlineStr">
        <is>
          <t>Independent research</t>
        </is>
      </c>
    </row>
    <row r="9">
      <c r="A9" s="4" t="inlineStr">
        <is>
          <t>Organisation inputs</t>
        </is>
      </c>
      <c r="B9" s="4" t="inlineStr">
        <is>
          <t>Editable</t>
        </is>
      </c>
      <c r="C9" s="4" t="inlineStr">
        <is>
          <t>Replace defaults with your actuals</t>
        </is>
      </c>
    </row>
    <row r="10">
      <c r="A10" s="4" t="inlineStr">
        <is>
          <t>Efficiency gains</t>
        </is>
      </c>
      <c r="B10" s="4" t="inlineStr">
        <is>
          <t>Illustrative ranges</t>
        </is>
      </c>
      <c r="C10" s="4" t="inlineStr">
        <is>
          <t>Not promises — calibrate in shadow/pilot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2026-09-20T16:05:08Z</dcterms:created>
  <dcterms:modified xmlns:dcterms="http://purl.org/dc/terms/" xmlns:xsi="http://www.w3.org/2001/XMLSchema-instance" xsi:type="dcterms:W3CDTF">2026-09-20T16:05:08Z</dcterms:modified>
</cp:coreProperties>
</file>