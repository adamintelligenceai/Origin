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B1F33"/>
      <sz val="16"/>
    </font>
    <font>
      <name val="Calibri"/>
      <i val="1"/>
      <color rgb="001F6F78"/>
      <sz val="10"/>
    </font>
    <font>
      <b val="1"/>
      <color rgb="000B1F33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2">
    <border>
      <left/>
      <right/>
      <top/>
      <bottom/>
      <diagonal/>
    </border>
    <border>
      <left style="thin">
        <color rgb="00D0CBC3"/>
      </left>
      <right style="thin">
        <color rgb="00D0CBC3"/>
      </right>
      <top style="thin">
        <color rgb="00D0CBC3"/>
      </top>
      <bottom style="thin">
        <color rgb="00D0CBC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Evidence Room — Transformation Business Case Model</t>
        </is>
      </c>
    </row>
    <row r="2">
      <c r="A2" s="2" t="inlineStr">
        <is>
          <t>Conservative / Base / Upside · no false precision</t>
        </is>
      </c>
    </row>
    <row r="3"/>
    <row r="4">
      <c r="A4" t="inlineStr">
        <is>
          <t>Organisation name</t>
        </is>
      </c>
      <c r="B4" t="inlineStr">
        <is>
          <t>[Your organisation]</t>
        </is>
      </c>
    </row>
    <row r="5">
      <c r="A5" t="inlineStr">
        <is>
          <t>Prepared by</t>
        </is>
      </c>
      <c r="B5" t="inlineStr"/>
    </row>
    <row r="6">
      <c r="A6" t="inlineStr">
        <is>
          <t>Date</t>
        </is>
      </c>
      <c r="B6" t="inlineStr">
        <is>
          <t>2026-03-20</t>
        </is>
      </c>
    </row>
    <row r="7"/>
    <row r="8">
      <c r="A8" s="3" t="inlineStr">
        <is>
          <t>KEY INPUTS</t>
        </is>
      </c>
    </row>
    <row r="9">
      <c r="A9" s="4" t="inlineStr">
        <is>
          <t>Input</t>
        </is>
      </c>
      <c r="B9" s="4" t="inlineStr">
        <is>
          <t>Value</t>
        </is>
      </c>
    </row>
    <row r="10">
      <c r="A10" s="5" t="inlineStr">
        <is>
          <t>Annual invoices</t>
        </is>
      </c>
      <c r="B10" s="6" t="n">
        <v>180000</v>
      </c>
    </row>
    <row r="11">
      <c r="A11" s="5" t="inlineStr">
        <is>
          <t>Current cost per invoice</t>
        </is>
      </c>
      <c r="B11" s="6" t="n">
        <v>9.84</v>
      </c>
    </row>
    <row r="12">
      <c r="A12" s="5" t="inlineStr">
        <is>
          <t>Target cost per invoice (illustrative)</t>
        </is>
      </c>
      <c r="B12" s="6" t="n">
        <v>6.5</v>
      </c>
    </row>
    <row r="13">
      <c r="A13" s="5" t="inlineStr">
        <is>
          <t>AP FTEs</t>
        </is>
      </c>
      <c r="B13" s="6" t="n">
        <v>12</v>
      </c>
    </row>
    <row r="14">
      <c r="A14" s="5" t="inlineStr">
        <is>
          <t>Loaded cost / FTE</t>
        </is>
      </c>
      <c r="B14" s="6" t="n">
        <v>85000</v>
      </c>
    </row>
    <row r="15">
      <c r="A15" s="5" t="inlineStr">
        <is>
          <t>One-time transformation investment</t>
        </is>
      </c>
      <c r="B15" s="6" t="n">
        <v>120000</v>
      </c>
    </row>
    <row r="16">
      <c r="A16" s="5" t="inlineStr">
        <is>
          <t>Annual run-rate AI/automation tools</t>
        </is>
      </c>
      <c r="B16" s="6" t="n">
        <v>36000</v>
      </c>
    </row>
    <row r="17">
      <c r="A17" s="5" t="inlineStr">
        <is>
          <t>Evidence Room Team licence (one-time)</t>
        </is>
      </c>
      <c r="B17" s="6" t="n">
        <v>499</v>
      </c>
    </row>
    <row r="18"/>
    <row r="19"/>
    <row r="20">
      <c r="A20" s="3" t="inlineStr">
        <is>
          <t>SCENARIO RESULTS (illustrative)</t>
        </is>
      </c>
    </row>
    <row r="21">
      <c r="A21" s="4" t="inlineStr">
        <is>
          <t>Metric</t>
        </is>
      </c>
      <c r="B21" s="4" t="inlineStr">
        <is>
          <t>Conservative</t>
        </is>
      </c>
      <c r="C21" s="4" t="inlineStr">
        <is>
          <t>Base</t>
        </is>
      </c>
      <c r="D21" s="4" t="inlineStr">
        <is>
          <t>Upside</t>
        </is>
      </c>
    </row>
    <row r="22">
      <c r="A22" s="5" t="inlineStr">
        <is>
          <t>Cost/invoice improvement vs current</t>
        </is>
      </c>
      <c r="B22" s="5" t="inlineStr">
        <is>
          <t>10%</t>
        </is>
      </c>
      <c r="C22" s="5" t="inlineStr">
        <is>
          <t>20%</t>
        </is>
      </c>
      <c r="D22" s="5" t="inlineStr">
        <is>
          <t>34%</t>
        </is>
      </c>
    </row>
    <row r="23">
      <c r="A23" s="5" t="inlineStr">
        <is>
          <t>Annual processing cost baseline</t>
        </is>
      </c>
      <c r="B23" s="7">
        <f>B10*B11</f>
        <v/>
      </c>
      <c r="C23" s="7">
        <f>B10*B11</f>
        <v/>
      </c>
      <c r="D23" s="7">
        <f>B10*B11</f>
        <v/>
      </c>
    </row>
    <row r="24">
      <c r="A24" s="5" t="inlineStr">
        <is>
          <t>Annual processing cost scenario</t>
        </is>
      </c>
      <c r="B24" s="7">
        <f>B10*B11*0.9</f>
        <v/>
      </c>
      <c r="C24" s="7">
        <f>B10*B11*0.8</f>
        <v/>
      </c>
      <c r="D24" s="7">
        <f>B10*B11*0.66</f>
        <v/>
      </c>
    </row>
    <row r="25">
      <c r="A25" s="5" t="inlineStr">
        <is>
          <t>Gross annual benefit</t>
        </is>
      </c>
      <c r="B25" s="7">
        <f>B23-B24</f>
        <v/>
      </c>
      <c r="C25" s="7">
        <f>C23-C24</f>
        <v/>
      </c>
      <c r="D25" s="7">
        <f>D23-D24</f>
        <v/>
      </c>
    </row>
    <row r="26">
      <c r="A26" s="5" t="inlineStr">
        <is>
          <t>Net annual benefit (after tools)</t>
        </is>
      </c>
      <c r="B26" s="7">
        <f>B25-B16</f>
        <v/>
      </c>
      <c r="C26" s="7">
        <f>C25-B16</f>
        <v/>
      </c>
      <c r="D26" s="7">
        <f>D25-B16</f>
        <v/>
      </c>
    </row>
    <row r="27">
      <c r="A27" s="5" t="inlineStr">
        <is>
          <t>Simple payback (months)</t>
        </is>
      </c>
      <c r="B27" s="7">
        <f>IF(B26&lt;=0,"n/a",(B15+B17)/(B26/12))</f>
        <v/>
      </c>
      <c r="C27" s="7">
        <f>IF(C26&lt;=0,"n/a",(B15+B17)/(C26/12))</f>
        <v/>
      </c>
      <c r="D27" s="7">
        <f>IF(D26&lt;=0,"n/a",(B15+B17)/(D26/12))</f>
        <v/>
      </c>
    </row>
    <row r="28"/>
    <row r="29"/>
    <row r="30">
      <c r="A30" s="8" t="inlineStr">
        <is>
          <t>Disclaimer: Illustrative planning tool. Does not guarantee ROI or savings. External default $9.84 is Ardent Partners 2025 average cost per invoice (context only).</t>
        </is>
      </c>
    </row>
    <row r="31"/>
    <row r="32"/>
  </sheetData>
  <mergeCells count="1">
    <mergeCell ref="A30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2026-09-20T16:05:08Z</dcterms:created>
  <dcterms:modified xmlns:dcterms="http://purl.org/dc/terms/" xmlns:xsi="http://www.w3.org/2001/XMLSchema-instance" xsi:type="dcterms:W3CDTF">2026-09-20T16:05:08Z</dcterms:modified>
</cp:coreProperties>
</file>