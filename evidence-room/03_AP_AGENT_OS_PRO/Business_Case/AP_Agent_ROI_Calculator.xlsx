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Outpu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4C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Notes</t>
        </is>
      </c>
    </row>
    <row r="2">
      <c r="A2" t="inlineStr">
        <is>
          <t>Monthly invoice volume</t>
        </is>
      </c>
      <c r="B2" t="n">
        <v>5000</v>
      </c>
      <c r="C2" t="inlineStr">
        <is>
          <t>invoices</t>
        </is>
      </c>
      <c r="D2" t="inlineStr"/>
    </row>
    <row r="3">
      <c r="A3" t="inlineStr">
        <is>
          <t>AP headcount (FTE)</t>
        </is>
      </c>
      <c r="B3" t="n">
        <v>12</v>
      </c>
      <c r="C3" t="inlineStr">
        <is>
          <t>people</t>
        </is>
      </c>
      <c r="D3" t="inlineStr"/>
    </row>
    <row r="4">
      <c r="A4" t="inlineStr">
        <is>
          <t>Fully loaded labour cost (annual)</t>
        </is>
      </c>
      <c r="B4" t="n">
        <v>65000</v>
      </c>
      <c r="C4" t="inlineStr">
        <is>
          <t>USD/FTE</t>
        </is>
      </c>
      <c r="D4" t="inlineStr"/>
    </row>
    <row r="5">
      <c r="A5" t="inlineStr">
        <is>
          <t>Manual touch rate (%)</t>
        </is>
      </c>
      <c r="B5" t="n">
        <v>68</v>
      </c>
      <c r="C5" t="inlineStr">
        <is>
          <t>%</t>
        </is>
      </c>
      <c r="D5" t="inlineStr"/>
    </row>
    <row r="6">
      <c r="A6" t="inlineStr">
        <is>
          <t>Exception rate (%)</t>
        </is>
      </c>
      <c r="B6" t="n">
        <v>16</v>
      </c>
      <c r="C6" t="inlineStr">
        <is>
          <t>%</t>
        </is>
      </c>
      <c r="D6" t="inlineStr"/>
    </row>
    <row r="7">
      <c r="A7" t="inlineStr">
        <is>
          <t>Avg exception resolution (minutes)</t>
        </is>
      </c>
      <c r="B7" t="n">
        <v>25</v>
      </c>
      <c r="C7" t="inlineStr">
        <is>
          <t>min</t>
        </is>
      </c>
      <c r="D7" t="inlineStr"/>
    </row>
    <row r="8">
      <c r="A8" t="inlineStr">
        <is>
          <t>Duplicate invoice rate (%)</t>
        </is>
      </c>
      <c r="B8" t="n">
        <v>0.8</v>
      </c>
      <c r="C8" t="inlineStr">
        <is>
          <t>%</t>
        </is>
      </c>
      <c r="D8" t="inlineStr"/>
    </row>
    <row r="9">
      <c r="A9" t="inlineStr">
        <is>
          <t>Avg cost per duplicate incident</t>
        </is>
      </c>
      <c r="B9" t="n">
        <v>2500</v>
      </c>
      <c r="C9" t="inlineStr">
        <is>
          <t>USD</t>
        </is>
      </c>
      <c r="D9" t="inlineStr"/>
    </row>
    <row r="10">
      <c r="A10" t="inlineStr">
        <is>
          <t>Current cost per invoice</t>
        </is>
      </c>
      <c r="B10" t="n">
        <v>9.4</v>
      </c>
      <c r="C10" t="inlineStr">
        <is>
          <t>USD</t>
        </is>
      </c>
      <c r="D10" t="inlineStr"/>
    </row>
    <row r="11">
      <c r="A11" t="inlineStr">
        <is>
          <t>AI/tool monthly cost</t>
        </is>
      </c>
      <c r="B11" t="n">
        <v>3500</v>
      </c>
      <c r="C11" t="inlineStr">
        <is>
          <t>USD</t>
        </is>
      </c>
      <c r="D11" t="inlineStr"/>
    </row>
    <row r="12">
      <c r="A12" t="inlineStr">
        <is>
          <t>Implementation cost (one-time)</t>
        </is>
      </c>
      <c r="B12" t="n">
        <v>75000</v>
      </c>
      <c r="C12" t="inlineStr">
        <is>
          <t>USD</t>
        </is>
      </c>
      <c r="D12" t="inlineStr"/>
    </row>
    <row r="13">
      <c r="A13" t="inlineStr">
        <is>
          <t>Efficiency improvement - Conservative (%)</t>
        </is>
      </c>
      <c r="B13" t="n">
        <v>15</v>
      </c>
      <c r="C13" t="inlineStr">
        <is>
          <t>%</t>
        </is>
      </c>
      <c r="D13" t="inlineStr"/>
    </row>
    <row r="14">
      <c r="A14" t="inlineStr">
        <is>
          <t>Efficiency improvement - Base (%)</t>
        </is>
      </c>
      <c r="B14" t="n">
        <v>30</v>
      </c>
      <c r="C14" t="inlineStr">
        <is>
          <t>%</t>
        </is>
      </c>
      <c r="D14" t="inlineStr"/>
    </row>
    <row r="15">
      <c r="A15" t="inlineStr">
        <is>
          <t>Efficiency improvement - Upside (%)</t>
        </is>
      </c>
      <c r="B15" t="n">
        <v>45</v>
      </c>
      <c r="C15" t="inlineStr">
        <is>
          <t>%</t>
        </is>
      </c>
      <c r="D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50" customWidth="1" min="1" max="1"/>
    <col width="36" customWidth="1" min="2" max="2"/>
    <col width="36" customWidth="1" min="3" max="3"/>
    <col width="36" customWidth="1" min="4" max="4"/>
  </cols>
  <sheetData>
    <row r="1">
      <c r="A1" s="1" t="inlineStr">
        <is>
          <t>Metric</t>
        </is>
      </c>
      <c r="B1" s="1" t="inlineStr">
        <is>
          <t>Conservative</t>
        </is>
      </c>
      <c r="C1" s="1" t="inlineStr">
        <is>
          <t>Base</t>
        </is>
      </c>
      <c r="D1" s="1" t="inlineStr">
        <is>
          <t>Upside</t>
        </is>
      </c>
    </row>
    <row r="2">
      <c r="A2" t="inlineStr">
        <is>
          <t>Annual invoice volume</t>
        </is>
      </c>
      <c r="B2">
        <f>Inputs!B2*12</f>
        <v/>
      </c>
      <c r="C2">
        <f>Inputs!B2*12</f>
        <v/>
      </c>
      <c r="D2">
        <f>Inputs!B2*12</f>
        <v/>
      </c>
    </row>
    <row r="3">
      <c r="A3" t="inlineStr">
        <is>
          <t>Annual AP labour cost</t>
        </is>
      </c>
      <c r="B3">
        <f>Inputs!B3*Inputs!B4</f>
        <v/>
      </c>
      <c r="C3">
        <f>Inputs!B3*Inputs!B4</f>
        <v/>
      </c>
      <c r="D3">
        <f>Inputs!B3*Inputs!B4</f>
        <v/>
      </c>
    </row>
    <row r="4">
      <c r="A4" t="inlineStr">
        <is>
          <t>Baseline processing cost</t>
        </is>
      </c>
      <c r="B4">
        <f>B2*Inputs!B10</f>
        <v/>
      </c>
      <c r="C4">
        <f>C2*Inputs!B10</f>
        <v/>
      </c>
      <c r="D4">
        <f>D2*Inputs!B10</f>
        <v/>
      </c>
    </row>
    <row r="5">
      <c r="A5" t="inlineStr">
        <is>
          <t>Hours on manual touch (annual)</t>
        </is>
      </c>
      <c r="B5">
        <f>B2*Inputs!B5/100*8/60</f>
        <v/>
      </c>
      <c r="C5">
        <f>C2*Inputs!B5/100*8/60</f>
        <v/>
      </c>
      <c r="D5">
        <f>D2*Inputs!B5/100*8/60</f>
        <v/>
      </c>
    </row>
    <row r="6">
      <c r="A6" t="inlineStr">
        <is>
          <t>Exception volume (annual)</t>
        </is>
      </c>
      <c r="B6">
        <f>B2*Inputs!B6/100</f>
        <v/>
      </c>
      <c r="C6">
        <f>C2*Inputs!B6/100</f>
        <v/>
      </c>
      <c r="D6">
        <f>D2*Inputs!B6/100</f>
        <v/>
      </c>
    </row>
    <row r="7">
      <c r="A7" t="inlineStr">
        <is>
          <t>Efficiency gain (%)</t>
        </is>
      </c>
      <c r="B7">
        <f>Inputs!B13</f>
        <v/>
      </c>
      <c r="C7">
        <f>Inputs!B14</f>
        <v/>
      </c>
      <c r="D7">
        <f>Inputs!B15</f>
        <v/>
      </c>
    </row>
    <row r="8">
      <c r="A8" t="inlineStr">
        <is>
          <t>Est. hours released</t>
        </is>
      </c>
      <c r="B8">
        <f>B5*Inputs!B13/100</f>
        <v/>
      </c>
      <c r="C8">
        <f>C5*Inputs!B14/100</f>
        <v/>
      </c>
      <c r="D8">
        <f>D5*Inputs!B15/100</f>
        <v/>
      </c>
    </row>
    <row r="9">
      <c r="A9" t="inlineStr">
        <is>
          <t>Est. labour savings (USD)</t>
        </is>
      </c>
      <c r="B9">
        <f>B8*Inputs!B4/2080</f>
        <v/>
      </c>
      <c r="C9">
        <f>C8*Inputs!B4/2080</f>
        <v/>
      </c>
      <c r="D9">
        <f>D8*Inputs!B4/2080</f>
        <v/>
      </c>
    </row>
    <row r="10">
      <c r="A10" t="inlineStr">
        <is>
          <t>Duplicate prevention savings</t>
        </is>
      </c>
      <c r="B10">
        <f>B2*Inputs!B8/100*Inputs!B9</f>
        <v/>
      </c>
      <c r="C10">
        <f>C2*Inputs!B8/100*Inputs!B9</f>
        <v/>
      </c>
      <c r="D10">
        <f>D2*Inputs!B8/100*Inputs!B9</f>
        <v/>
      </c>
    </row>
    <row r="11">
      <c r="A11" t="inlineStr">
        <is>
          <t>Total annual benefit</t>
        </is>
      </c>
      <c r="B11">
        <f>B10+B11</f>
        <v/>
      </c>
      <c r="C11">
        <f>C10+C11</f>
        <v/>
      </c>
      <c r="D11">
        <f>D10+D11</f>
        <v/>
      </c>
    </row>
    <row r="12">
      <c r="A12" t="inlineStr">
        <is>
          <t>Total annual cost (tools)</t>
        </is>
      </c>
      <c r="B12">
        <f>Inputs!B11*12</f>
        <v/>
      </c>
      <c r="C12">
        <f>Inputs!B11*12</f>
        <v/>
      </c>
      <c r="D12">
        <f>Inputs!B11*12</f>
        <v/>
      </c>
    </row>
    <row r="13">
      <c r="A13" t="inlineStr">
        <is>
          <t>Net annual benefit</t>
        </is>
      </c>
      <c r="B13">
        <f>B12-B13</f>
        <v/>
      </c>
      <c r="C13">
        <f>C12-C13</f>
        <v/>
      </c>
      <c r="D13">
        <f>D12-D13</f>
        <v/>
      </c>
    </row>
    <row r="14">
      <c r="A14" t="inlineStr">
        <is>
          <t>Payback (months)</t>
        </is>
      </c>
      <c r="B14">
        <f>Inputs!B12/(B14/12)</f>
        <v/>
      </c>
      <c r="C14">
        <f>Inputs!B12/(C14/12)</f>
        <v/>
      </c>
      <c r="D14">
        <f>Inputs!B12/(D14/12)</f>
        <v/>
      </c>
    </row>
    <row r="15">
      <c r="A15" t="inlineStr">
        <is>
          <t>3-year ROI (%)</t>
        </is>
      </c>
      <c r="B15">
        <f>(B14*3-Inputs!B12)/Inputs!B12*100</f>
        <v/>
      </c>
      <c r="C15">
        <f>(C14*3-Inputs!B12)/Inputs!B12*100</f>
        <v/>
      </c>
      <c r="D15">
        <f>(D14*3-Inputs!B12)/Inputs!B12*100</f>
        <v/>
      </c>
    </row>
    <row r="16"/>
    <row r="17">
      <c r="A17" t="inlineStr">
        <is>
          <t>DISCLAIMER: Illustrative model only. Results depend on implementation scope, data quality, and organisational factors. Not a guarantee of savings.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2026-09-20T15:52:31Z</dcterms:created>
  <dcterms:modified xmlns:dcterms="http://purl.org/dc/terms/" xmlns:xsi="http://www.w3.org/2001/XMLSchema-instance" xsi:type="dcterms:W3CDTF">2026-09-20T15:52:31Z</dcterms:modified>
</cp:coreProperties>
</file>