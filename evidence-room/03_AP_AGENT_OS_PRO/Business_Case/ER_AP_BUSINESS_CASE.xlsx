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14171C"/>
      <sz val="18"/>
    </font>
    <font>
      <name val="Calibri"/>
      <i val="1"/>
      <color rgb="005C6370"/>
      <sz val="10"/>
    </font>
    <font>
      <name val="Calibri"/>
      <b val="1"/>
      <color rgb="00FFFCF7"/>
      <sz val="10"/>
    </font>
    <font>
      <name val="Calibri"/>
      <i val="1"/>
      <color rgb="005C6370"/>
      <sz val="9"/>
    </font>
  </fonts>
  <fills count="3">
    <fill>
      <patternFill/>
    </fill>
    <fill>
      <patternFill patternType="gray125"/>
    </fill>
    <fill>
      <patternFill patternType="solid">
        <fgColor rgb="0014171C"/>
      </patternFill>
    </fill>
  </fills>
  <borders count="2">
    <border>
      <left/>
      <right/>
      <top/>
      <bottom/>
      <diagonal/>
    </border>
    <border>
      <left style="thin">
        <color rgb="00D4CBB8"/>
      </left>
      <right style="thin">
        <color rgb="00D4CBB8"/>
      </right>
      <top style="thin">
        <color rgb="00D4CBB8"/>
      </top>
      <bottom style="thin">
        <color rgb="00D4CBB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annual benefit by scenario (illustrative)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'Model'!$A$29:$A$31</f>
            </numRef>
          </cat>
          <val>
            <numRef>
              <f>'Model'!$B$29:$B$31</f>
            </numRef>
          </val>
        </ser>
        <dLbls/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14" customWidth="1" min="4" max="4"/>
    <col width="14" customWidth="1" min="5" max="5"/>
    <col width="52" customWidth="1" min="6" max="6"/>
  </cols>
  <sheetData>
    <row r="1" ht="24" customHeight="1">
      <c r="A1" s="1" t="inlineStr">
        <is>
          <t>Evidence Room · AP Agent Business Case</t>
        </is>
      </c>
    </row>
    <row r="2">
      <c r="A2" s="2" t="inlineStr">
        <is>
          <t>Customer baseline only. Scenarios are model outputs, not promises. Version 1.0 · Sep 2026</t>
        </is>
      </c>
    </row>
    <row r="4" ht="28" customHeight="1">
      <c r="A4" s="3" t="inlineStr">
        <is>
          <t>Parameter</t>
        </is>
      </c>
      <c r="B4" s="3" t="inlineStr">
        <is>
          <t>Unit</t>
        </is>
      </c>
      <c r="C4" s="3" t="inlineStr">
        <is>
          <t>Conservative</t>
        </is>
      </c>
      <c r="D4" s="3" t="inlineStr">
        <is>
          <t>Base</t>
        </is>
      </c>
      <c r="E4" s="3" t="inlineStr">
        <is>
          <t>Upside</t>
        </is>
      </c>
      <c r="F4" s="3" t="inlineStr">
        <is>
          <t>Notes</t>
        </is>
      </c>
    </row>
    <row r="5" ht="32" customHeight="1">
      <c r="A5" s="4" t="inlineStr">
        <is>
          <t>Monthly invoice volume</t>
        </is>
      </c>
      <c r="B5" s="4" t="inlineStr">
        <is>
          <t>invoices</t>
        </is>
      </c>
      <c r="C5" s="4" t="n">
        <v>15000</v>
      </c>
      <c r="D5" s="4" t="n">
        <v>18000</v>
      </c>
      <c r="E5" s="4" t="n">
        <v>22000</v>
      </c>
      <c r="F5" s="4" t="inlineStr">
        <is>
          <t>Northline illustrative default in Base</t>
        </is>
      </c>
    </row>
    <row r="6" ht="32" customHeight="1">
      <c r="A6" s="4" t="inlineStr">
        <is>
          <t>AP FTE (payables processing)</t>
        </is>
      </c>
      <c r="B6" s="4" t="inlineStr">
        <is>
          <t>FTE</t>
        </is>
      </c>
      <c r="C6" s="4" t="n">
        <v>14</v>
      </c>
      <c r="D6" s="4" t="n">
        <v>14</v>
      </c>
      <c r="E6" s="4" t="n">
        <v>12</v>
      </c>
      <c r="F6" s="4" t="inlineStr">
        <is>
          <t>Shared-services headcount touching invoices</t>
        </is>
      </c>
    </row>
    <row r="7" ht="32" customHeight="1">
      <c r="A7" s="4" t="inlineStr">
        <is>
          <t>Fully loaded cost per FTE</t>
        </is>
      </c>
      <c r="B7" s="4" t="inlineStr">
        <is>
          <t>USD / year</t>
        </is>
      </c>
      <c r="C7" s="5" t="n">
        <v>85000</v>
      </c>
      <c r="D7" s="5" t="n">
        <v>95000</v>
      </c>
      <c r="E7" s="5" t="n">
        <v>105000</v>
      </c>
      <c r="F7" s="4" t="inlineStr">
        <is>
          <t>Salary + burden; customer actuals</t>
        </is>
      </c>
    </row>
    <row r="8" ht="32" customHeight="1">
      <c r="A8" s="4" t="inlineStr">
        <is>
          <t>Manual-touch rate</t>
        </is>
      </c>
      <c r="B8" s="4" t="inlineStr">
        <is>
          <t>% invoices</t>
        </is>
      </c>
      <c r="C8" s="6" t="n">
        <v>0.72</v>
      </c>
      <c r="D8" s="6" t="n">
        <v>0.62</v>
      </c>
      <c r="E8" s="6" t="n">
        <v>0.48</v>
      </c>
      <c r="F8" s="4" t="inlineStr">
        <is>
          <t>Share requiring a human touch today</t>
        </is>
      </c>
    </row>
    <row r="9" ht="32" customHeight="1">
      <c r="A9" s="4" t="inlineStr">
        <is>
          <t>Exception rate</t>
        </is>
      </c>
      <c r="B9" s="4" t="inlineStr">
        <is>
          <t>% invoices</t>
        </is>
      </c>
      <c r="C9" s="6" t="n">
        <v>0.24</v>
      </c>
      <c r="D9" s="6" t="n">
        <v>0.2</v>
      </c>
      <c r="E9" s="6" t="n">
        <v>0.14</v>
      </c>
      <c r="F9" s="4" t="inlineStr">
        <is>
          <t>Ardent 2024 BIC reported 9%; do not import as your target</t>
        </is>
      </c>
    </row>
    <row r="10" ht="32" customHeight="1">
      <c r="A10" s="4" t="inlineStr">
        <is>
          <t>Avg resolution minutes</t>
        </is>
      </c>
      <c r="B10" s="4" t="inlineStr">
        <is>
          <t>minutes</t>
        </is>
      </c>
      <c r="C10" s="6" t="n">
        <v>28</v>
      </c>
      <c r="D10" s="6" t="n">
        <v>22</v>
      </c>
      <c r="E10" s="6" t="n">
        <v>16</v>
      </c>
      <c r="F10" s="4" t="inlineStr">
        <is>
          <t>Clock time per exception, not elapsed days</t>
        </is>
      </c>
    </row>
    <row r="11" ht="32" customHeight="1">
      <c r="A11" s="4" t="inlineStr">
        <is>
          <t>Known duplicate rate</t>
        </is>
      </c>
      <c r="B11" s="4" t="inlineStr">
        <is>
          <t>% invoices</t>
        </is>
      </c>
      <c r="C11" s="7" t="n">
        <v>0.004</v>
      </c>
      <c r="D11" s="7" t="n">
        <v>0.003</v>
      </c>
      <c r="E11" s="7" t="n">
        <v>0.002</v>
      </c>
      <c r="F11" s="4" t="inlineStr">
        <is>
          <t>Confirmed duplicates; not a fraud rate</t>
        </is>
      </c>
    </row>
    <row r="12" ht="32" customHeight="1">
      <c r="A12" s="4" t="inlineStr">
        <is>
          <t>Avg invoice value (for sensitivity only)</t>
        </is>
      </c>
      <c r="B12" s="4" t="inlineStr">
        <is>
          <t>USD</t>
        </is>
      </c>
      <c r="C12" s="5" t="n">
        <v>1800</v>
      </c>
      <c r="D12" s="5" t="n">
        <v>2200</v>
      </c>
      <c r="E12" s="5" t="n">
        <v>2600</v>
      </c>
      <c r="F12" s="4" t="inlineStr">
        <is>
          <t>Used only if you model cash leakage</t>
        </is>
      </c>
    </row>
    <row r="13" ht="32" customHeight="1">
      <c r="A13" s="4" t="inlineStr">
        <is>
          <t>Late-payment cost / month</t>
        </is>
      </c>
      <c r="B13" s="4" t="inlineStr">
        <is>
          <t>USD</t>
        </is>
      </c>
      <c r="C13" s="5" t="n">
        <v>8000</v>
      </c>
      <c r="D13" s="5" t="n">
        <v>5000</v>
      </c>
      <c r="E13" s="5" t="n">
        <v>2000</v>
      </c>
      <c r="F13" s="4" t="inlineStr">
        <is>
          <t>Fees + lost discount + supplier friction estimate</t>
        </is>
      </c>
    </row>
    <row r="14" ht="32" customHeight="1">
      <c r="A14" s="4" t="inlineStr">
        <is>
          <t>Early-pay discount opportunity / month</t>
        </is>
      </c>
      <c r="B14" s="4" t="inlineStr">
        <is>
          <t>USD</t>
        </is>
      </c>
      <c r="C14" s="5" t="n">
        <v>4000</v>
      </c>
      <c r="D14" s="5" t="n">
        <v>7000</v>
      </c>
      <c r="E14" s="5" t="n">
        <v>12000</v>
      </c>
      <c r="F14" s="4" t="inlineStr">
        <is>
          <t>Uncaptured discounts — customer AP data</t>
        </is>
      </c>
    </row>
    <row r="15" ht="32" customHeight="1">
      <c r="A15" s="4" t="inlineStr">
        <is>
          <t>Current processing cost / invoice</t>
        </is>
      </c>
      <c r="B15" s="4" t="inlineStr">
        <is>
          <t>USD</t>
        </is>
      </c>
      <c r="C15" s="5" t="n">
        <v>12.5</v>
      </c>
      <c r="D15" s="5" t="n">
        <v>9.800000000000001</v>
      </c>
      <c r="E15" s="5" t="n">
        <v>7.4</v>
      </c>
      <c r="F15" s="4" t="inlineStr">
        <is>
          <t>YOUR cost. Do not paste vendor-blog $15/$3</t>
        </is>
      </c>
    </row>
    <row r="16" ht="32" customHeight="1">
      <c r="A16" s="4" t="inlineStr">
        <is>
          <t>AI / tool run-rate / month</t>
        </is>
      </c>
      <c r="B16" s="4" t="inlineStr">
        <is>
          <t>USD</t>
        </is>
      </c>
      <c r="C16" s="5" t="n">
        <v>4500</v>
      </c>
      <c r="D16" s="5" t="n">
        <v>6500</v>
      </c>
      <c r="E16" s="5" t="n">
        <v>9000</v>
      </c>
      <c r="F16" s="4" t="inlineStr">
        <is>
          <t>Models + orchestration + licences</t>
        </is>
      </c>
    </row>
    <row r="17" ht="32" customHeight="1">
      <c r="A17" s="4" t="inlineStr">
        <is>
          <t>Implementation cost (one-off)</t>
        </is>
      </c>
      <c r="B17" s="4" t="inlineStr">
        <is>
          <t>USD</t>
        </is>
      </c>
      <c r="C17" s="8" t="n">
        <v>45000</v>
      </c>
      <c r="D17" s="8" t="n">
        <v>75000</v>
      </c>
      <c r="E17" s="8" t="n">
        <v>120000</v>
      </c>
      <c r="F17" s="4" t="inlineStr">
        <is>
          <t>Internal + external; year 1</t>
        </is>
      </c>
    </row>
    <row r="18" ht="32" customHeight="1">
      <c r="A18" s="4" t="inlineStr">
        <is>
          <t>Expected touch reduction (of manual-touch)</t>
        </is>
      </c>
      <c r="B18" s="4" t="inlineStr">
        <is>
          <t>%</t>
        </is>
      </c>
      <c r="C18" s="6" t="n">
        <v>0.12</v>
      </c>
      <c r="D18" s="6" t="n">
        <v>0.22</v>
      </c>
      <c r="E18" s="6" t="n">
        <v>0.35</v>
      </c>
      <c r="F18" s="4" t="inlineStr">
        <is>
          <t>ILLUSTRATIVE range — replace with measured</t>
        </is>
      </c>
    </row>
    <row r="19" ht="32" customHeight="1">
      <c r="A19" s="4" t="inlineStr">
        <is>
          <t>Expected exception reduction</t>
        </is>
      </c>
      <c r="B19" s="4" t="inlineStr">
        <is>
          <t>%</t>
        </is>
      </c>
      <c r="C19" s="6" t="n">
        <v>0.08</v>
      </c>
      <c r="D19" s="6" t="n">
        <v>0.15</v>
      </c>
      <c r="E19" s="6" t="n">
        <v>0.25</v>
      </c>
      <c r="F19" s="4" t="inlineStr">
        <is>
          <t>ILLUSTRATIVE — root-cause dependent</t>
        </is>
      </c>
    </row>
    <row r="20" ht="32" customHeight="1">
      <c r="A20" s="4" t="inlineStr">
        <is>
          <t>Hours-to-cash conversion</t>
        </is>
      </c>
      <c r="B20" s="4" t="inlineStr">
        <is>
          <t>%</t>
        </is>
      </c>
      <c r="C20" s="6" t="n">
        <v>0.25</v>
      </c>
      <c r="D20" s="6" t="n">
        <v>0.4</v>
      </c>
      <c r="E20" s="6" t="n">
        <v>0.6</v>
      </c>
      <c r="F20" s="4" t="inlineStr">
        <is>
          <t>Share of released hours that become cash (attrition/redeploy)</t>
        </is>
      </c>
    </row>
    <row r="21" ht="32" customHeight="1">
      <c r="A21" s="4" t="inlineStr">
        <is>
          <t>Discount capture improvement</t>
        </is>
      </c>
      <c r="B21" s="4" t="inlineStr">
        <is>
          <t>% of opportunity</t>
        </is>
      </c>
      <c r="C21" s="4" t="n">
        <v>0.1</v>
      </c>
      <c r="D21" s="4" t="n">
        <v>0.25</v>
      </c>
      <c r="E21" s="4" t="n">
        <v>0.4</v>
      </c>
      <c r="F21" s="4" t="inlineStr">
        <is>
          <t>Only if process actually changes payment timing</t>
        </is>
      </c>
    </row>
    <row r="22" ht="32" customHeight="1">
      <c r="A22" s="4" t="inlineStr">
        <is>
          <t>Model years</t>
        </is>
      </c>
      <c r="B22" s="4" t="inlineStr">
        <is>
          <t>years</t>
        </is>
      </c>
      <c r="C22" s="4" t="n">
        <v>3</v>
      </c>
      <c r="D22" s="4" t="n">
        <v>3</v>
      </c>
      <c r="E22" s="4" t="n">
        <v>3</v>
      </c>
      <c r="F22" s="4" t="inlineStr">
        <is>
          <t>Horizon for ROI/payback</t>
        </is>
      </c>
    </row>
    <row r="24" ht="36" customHeight="1">
      <c r="A24" s="9" t="inlineStr">
        <is>
          <t>ILLUSTRATIVE model. Evidence Room does not promise savings, ROI, payback, or discount capture. Replace every yellow-adjacent input with the customer's measured baseline. Absolute $ cost-per-invoice figures circulating in vendor blogs ($10–$15 vs $2–$3) are not independent facts. Ardent Partners 2024 Best-in-Class reported 78% lower cost, 82% faster cycle, 59% lower exceptions vs peers, and a 9% BIC exception rate — context, not a forecast.</t>
        </is>
      </c>
    </row>
  </sheetData>
  <mergeCells count="3">
    <mergeCell ref="A24:F2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</cols>
  <sheetData>
    <row r="1" ht="24" customHeight="1">
      <c r="A1" s="1" t="inlineStr">
        <is>
          <t>Calculated outcomes</t>
        </is>
      </c>
    </row>
    <row r="2">
      <c r="A2" s="2" t="inlineStr">
        <is>
          <t>Formulas read Inputs! Conservative / Base / Upside. Hours are not cash until Hours-to-cash conversion.</t>
        </is>
      </c>
    </row>
    <row r="4" ht="28" customHeight="1">
      <c r="A4" s="3" t="inlineStr">
        <is>
          <t>Metric</t>
        </is>
      </c>
      <c r="B4" s="3" t="inlineStr">
        <is>
          <t>Conservative</t>
        </is>
      </c>
      <c r="C4" s="3" t="inlineStr">
        <is>
          <t>Base</t>
        </is>
      </c>
      <c r="D4" s="3" t="inlineStr">
        <is>
          <t>Upside</t>
        </is>
      </c>
    </row>
    <row r="5">
      <c r="A5" s="10" t="inlineStr">
        <is>
          <t>Annual invoices</t>
        </is>
      </c>
      <c r="B5" s="11">
        <f>Inputs!C5*12</f>
        <v/>
      </c>
      <c r="C5" s="11">
        <f>Inputs!D5*12</f>
        <v/>
      </c>
      <c r="D5" s="11">
        <f>Inputs!E5*12</f>
        <v/>
      </c>
    </row>
    <row r="6">
      <c r="A6" s="10" t="inlineStr">
        <is>
          <t>Annual labour cost</t>
        </is>
      </c>
      <c r="B6" s="11">
        <f>Inputs!C6*Inputs!C7</f>
        <v/>
      </c>
      <c r="C6" s="11">
        <f>Inputs!D6*Inputs!D7</f>
        <v/>
      </c>
      <c r="D6" s="11">
        <f>Inputs!E6*Inputs!E7</f>
        <v/>
      </c>
    </row>
    <row r="7">
      <c r="A7" s="10" t="inlineStr">
        <is>
          <t>Baseline processing cost / year</t>
        </is>
      </c>
      <c r="B7" s="11">
        <f>B5*Inputs!C15</f>
        <v/>
      </c>
      <c r="C7" s="11">
        <f>C5*Inputs!D15</f>
        <v/>
      </c>
      <c r="D7" s="11">
        <f>D5*Inputs!E15</f>
        <v/>
      </c>
    </row>
    <row r="8">
      <c r="A8" s="10" t="inlineStr">
        <is>
          <t>Manual-touch invoices / year</t>
        </is>
      </c>
      <c r="B8" s="11">
        <f>B5*Inputs!C8</f>
        <v/>
      </c>
      <c r="C8" s="11">
        <f>C5*Inputs!D8</f>
        <v/>
      </c>
      <c r="D8" s="11">
        <f>D5*Inputs!E8</f>
        <v/>
      </c>
    </row>
    <row r="9">
      <c r="A9" s="10" t="inlineStr">
        <is>
          <t>Exceptions / year</t>
        </is>
      </c>
      <c r="B9" s="11">
        <f>B5*Inputs!C9</f>
        <v/>
      </c>
      <c r="C9" s="11">
        <f>C5*Inputs!D9</f>
        <v/>
      </c>
      <c r="D9" s="11">
        <f>D5*Inputs!E9</f>
        <v/>
      </c>
    </row>
    <row r="10">
      <c r="A10" s="10" t="inlineStr">
        <is>
          <t>Exception hours / year</t>
        </is>
      </c>
      <c r="B10" s="11">
        <f>B9*Inputs!C10/60</f>
        <v/>
      </c>
      <c r="C10" s="11">
        <f>C9*Inputs!D10/60</f>
        <v/>
      </c>
      <c r="D10" s="11">
        <f>D9*Inputs!E10/60</f>
        <v/>
      </c>
    </row>
    <row r="11">
      <c r="A11" s="10" t="inlineStr">
        <is>
          <t>Gross hours released / year</t>
        </is>
      </c>
      <c r="B11" s="11">
        <f>B10*Inputs!C18 + (B8*0.08*Inputs!C18)</f>
        <v/>
      </c>
      <c r="C11" s="11">
        <f>C10*Inputs!D18 + (C8*0.08*Inputs!D18)</f>
        <v/>
      </c>
      <c r="D11" s="11">
        <f>D10*Inputs!E18 + (D8*0.08*Inputs!E18)</f>
        <v/>
      </c>
    </row>
    <row r="12">
      <c r="A12" s="10" t="inlineStr">
        <is>
          <t>Cash-converted labour / year</t>
        </is>
      </c>
      <c r="B12" s="11">
        <f>B11*(Inputs!C7/1800)*Inputs!C20</f>
        <v/>
      </c>
      <c r="C12" s="11">
        <f>C11*(Inputs!D7/1800)*Inputs!D20</f>
        <v/>
      </c>
      <c r="D12" s="11">
        <f>D11*(Inputs!E7/1800)*Inputs!E20</f>
        <v/>
      </c>
    </row>
    <row r="13">
      <c r="A13" s="10" t="inlineStr">
        <is>
          <t>Processing cost change / year</t>
        </is>
      </c>
      <c r="B13" s="11">
        <f>B7*Inputs!C18</f>
        <v/>
      </c>
      <c r="C13" s="11">
        <f>C7*Inputs!D18</f>
        <v/>
      </c>
      <c r="D13" s="11">
        <f>D7*Inputs!E18</f>
        <v/>
      </c>
    </row>
    <row r="14">
      <c r="A14" s="10" t="inlineStr">
        <is>
          <t>Exception cost change / year</t>
        </is>
      </c>
      <c r="B14" s="11">
        <f>B10*(Inputs!C7/1800)*Inputs!C19</f>
        <v/>
      </c>
      <c r="C14" s="11">
        <f>C10*(Inputs!D7/1800)*Inputs!D19</f>
        <v/>
      </c>
      <c r="D14" s="11">
        <f>D10*(Inputs!E7/1800)*Inputs!E19</f>
        <v/>
      </c>
    </row>
    <row r="15">
      <c r="A15" s="10" t="inlineStr">
        <is>
          <t>Late-cost reduction / year</t>
        </is>
      </c>
      <c r="B15" s="11">
        <f>Inputs!C13*12*Inputs!C18</f>
        <v/>
      </c>
      <c r="C15" s="11">
        <f>Inputs!D13*12*Inputs!D18</f>
        <v/>
      </c>
      <c r="D15" s="11">
        <f>Inputs!E13*12*Inputs!E18</f>
        <v/>
      </c>
    </row>
    <row r="16">
      <c r="A16" s="10" t="inlineStr">
        <is>
          <t>Discount capture / year</t>
        </is>
      </c>
      <c r="B16" s="11">
        <f>Inputs!C14*12*Inputs!C21</f>
        <v/>
      </c>
      <c r="C16" s="11">
        <f>Inputs!D14*12*Inputs!D21</f>
        <v/>
      </c>
      <c r="D16" s="11">
        <f>Inputs!E14*12*Inputs!E21</f>
        <v/>
      </c>
    </row>
    <row r="17">
      <c r="A17" s="10" t="inlineStr">
        <is>
          <t>AI + tool cost / year</t>
        </is>
      </c>
      <c r="B17" s="11">
        <f>Inputs!C16*12</f>
        <v/>
      </c>
      <c r="C17" s="11">
        <f>Inputs!D16*12</f>
        <v/>
      </c>
      <c r="D17" s="11">
        <f>Inputs!E16*12</f>
        <v/>
      </c>
    </row>
    <row r="18">
      <c r="A18" s="10" t="inlineStr">
        <is>
          <t>Gross annual benefit (pre-tool)</t>
        </is>
      </c>
      <c r="B18" s="11">
        <f>B12+B13+B14+B15+B16</f>
        <v/>
      </c>
      <c r="C18" s="11">
        <f>C12+C13+C14+C15+C16</f>
        <v/>
      </c>
      <c r="D18" s="11">
        <f>D12+D13+D14+D15+D16</f>
        <v/>
      </c>
    </row>
    <row r="19">
      <c r="A19" s="10" t="inlineStr">
        <is>
          <t>Net annual benefit</t>
        </is>
      </c>
      <c r="B19" s="11">
        <f>B18-B17</f>
        <v/>
      </c>
      <c r="C19" s="11">
        <f>C18-C17</f>
        <v/>
      </c>
      <c r="D19" s="11">
        <f>D18-D17</f>
        <v/>
      </c>
    </row>
    <row r="20">
      <c r="A20" s="10" t="inlineStr">
        <is>
          <t>Implementation cost</t>
        </is>
      </c>
      <c r="B20" s="11">
        <f>Inputs!C17</f>
        <v/>
      </c>
      <c r="C20" s="11">
        <f>Inputs!D17</f>
        <v/>
      </c>
      <c r="D20" s="11">
        <f>Inputs!E17</f>
        <v/>
      </c>
    </row>
    <row r="21">
      <c r="A21" s="10" t="inlineStr">
        <is>
          <t>Payback (months)</t>
        </is>
      </c>
      <c r="B21" s="12">
        <f>IF(B19&lt;=0,"No payback in model",B20/(B19/12))</f>
        <v/>
      </c>
      <c r="C21" s="12">
        <f>IF(C19&lt;=0,"No payback in model",C20/(C19/12))</f>
        <v/>
      </c>
      <c r="D21" s="12">
        <f>IF(D19&lt;=0,"No payback in model",D20/(D19/12))</f>
        <v/>
      </c>
    </row>
    <row r="22">
      <c r="A22" s="10" t="inlineStr">
        <is>
          <t>3-year net (undiscounted)</t>
        </is>
      </c>
      <c r="B22" s="11">
        <f>B19*Inputs!C22-B20</f>
        <v/>
      </c>
      <c r="C22" s="11">
        <f>C19*Inputs!D22-C20</f>
        <v/>
      </c>
      <c r="D22" s="11">
        <f>D19*Inputs!E22-D20</f>
        <v/>
      </c>
    </row>
    <row r="23">
      <c r="A23" s="10" t="inlineStr">
        <is>
          <t>ROI (3-year, undiscounted)</t>
        </is>
      </c>
      <c r="B23" s="13">
        <f>IF(B20=0,"n/a",B22/B20)</f>
        <v/>
      </c>
      <c r="C23" s="13">
        <f>IF(C20=0,"n/a",C22/C20)</f>
        <v/>
      </c>
      <c r="D23" s="13">
        <f>IF(D20=0,"n/a",D22/D20)</f>
        <v/>
      </c>
    </row>
    <row r="26" ht="36" customHeight="1">
      <c r="A26" s="9" t="inlineStr">
        <is>
          <t>If Net annual benefit is negative, say so. Do not force a payback story. Conservative is the steering case until measured results exist.</t>
        </is>
      </c>
    </row>
    <row r="28">
      <c r="A28" s="10" t="inlineStr">
        <is>
          <t>Scenario</t>
        </is>
      </c>
      <c r="B28" s="10" t="inlineStr">
        <is>
          <t>Net annual benefit</t>
        </is>
      </c>
    </row>
    <row r="29">
      <c r="A29" s="10" t="inlineStr">
        <is>
          <t>Conservative</t>
        </is>
      </c>
      <c r="B29" s="11">
        <f>B19</f>
        <v/>
      </c>
    </row>
    <row r="30">
      <c r="A30" s="10" t="inlineStr">
        <is>
          <t>Base</t>
        </is>
      </c>
      <c r="B30" s="11">
        <f>C19</f>
        <v/>
      </c>
    </row>
    <row r="31">
      <c r="A31" s="10" t="inlineStr">
        <is>
          <t>Upside</t>
        </is>
      </c>
      <c r="B31" s="11">
        <f>D19</f>
        <v/>
      </c>
    </row>
  </sheetData>
  <mergeCells count="3">
    <mergeCell ref="A2:H2"/>
    <mergeCell ref="A26:D26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4" customHeight="1">
      <c r="A1" s="1" t="inlineStr">
        <is>
          <t>How to brief a CFO with this model</t>
        </is>
      </c>
    </row>
    <row r="2">
      <c r="A2" s="2" t="inlineStr">
        <is>
          <t>Four families: do not present financials without operational and control evidence.</t>
        </is>
      </c>
    </row>
    <row r="4" ht="140" customHeight="1">
      <c r="A4" s="14" t="inlineStr">
        <is>
          <t>1. Replace Inputs with a measured month (volume, FTE, loaded cost, exception rate, minutes).
2. Leave scenario spreads wide. False precision is a credibility failure.
3. Hours released ≠ savings. Apply Hours-to-cash conversion or report capacity only.
4. Put control breaches and rework next to any efficiency claim (see KPI workbook).
5. Payment authorisation remains human. Do not model 'straight-through pay' as a default.
6. Cite Ardent 2024 only as industry context, never as 'you will achieve'.
7. If Base does not pay back, the honest answer is: do not scale spend; run one bounded agent.</t>
        </is>
      </c>
    </row>
    <row r="5"/>
    <row r="6"/>
    <row r="7"/>
    <row r="8"/>
    <row r="9"/>
    <row r="10"/>
    <row r="11"/>
    <row r="12"/>
    <row r="13"/>
    <row r="14"/>
    <row r="15"/>
    <row r="16"/>
  </sheetData>
  <mergeCells count="3">
    <mergeCell ref="A4:F1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2026-09-20T16:17:34Z</dcterms:created>
  <dcterms:modified xmlns:dcterms="http://purl.org/dc/terms/" xmlns:xsi="http://www.w3.org/2001/XMLSchema-instance" xsi:type="dcterms:W3CDTF">2026-09-20T16:17:34Z</dcterms:modified>
</cp:coreProperties>
</file>