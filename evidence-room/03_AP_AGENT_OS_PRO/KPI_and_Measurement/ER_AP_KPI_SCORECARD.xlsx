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Calibri"/>
      <b val="1"/>
      <color rgb="0014171C"/>
      <sz val="18"/>
    </font>
    <font>
      <name val="Calibri"/>
      <i val="1"/>
      <color rgb="005C6370"/>
      <sz val="10"/>
    </font>
    <font>
      <name val="Calibri"/>
      <b val="1"/>
      <color rgb="00FFFCF7"/>
      <sz val="10"/>
    </font>
    <font>
      <name val="Calibri"/>
      <i val="1"/>
      <color rgb="005C6370"/>
      <sz val="9"/>
    </font>
  </fonts>
  <fills count="7">
    <fill>
      <patternFill/>
    </fill>
    <fill>
      <patternFill patternType="gray125"/>
    </fill>
    <fill>
      <patternFill patternType="solid">
        <fgColor rgb="0014171C"/>
      </patternFill>
    </fill>
    <fill>
      <patternFill patternType="solid">
        <fgColor rgb="00D4CBB8"/>
      </patternFill>
    </fill>
    <fill>
      <patternFill patternType="solid">
        <fgColor rgb="00C9D9D0"/>
      </patternFill>
    </fill>
    <fill>
      <patternFill patternType="solid">
        <fgColor rgb="00E0CFC8"/>
      </patternFill>
    </fill>
    <fill>
      <patternFill patternType="solid">
        <fgColor rgb="00E8E2D2"/>
      </patternFill>
    </fill>
  </fills>
  <borders count="2">
    <border>
      <left/>
      <right/>
      <top/>
      <bottom/>
      <diagonal/>
    </border>
    <border>
      <left style="thin">
        <color rgb="00D4CBB8"/>
      </left>
      <right style="thin">
        <color rgb="00D4CBB8"/>
      </right>
      <top style="thin">
        <color rgb="00D4CBB8"/>
      </top>
      <bottom style="thin">
        <color rgb="00D4CBB8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4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28" customWidth="1" min="3" max="3"/>
    <col width="52" customWidth="1" min="4" max="4"/>
    <col width="12" customWidth="1" min="5" max="5"/>
    <col width="12" customWidth="1" min="6" max="6"/>
    <col width="12" customWidth="1" min="7" max="7"/>
    <col width="18" customWidth="1" min="8" max="8"/>
    <col width="18" customWidth="1" min="9" max="9"/>
    <col width="28" customWidth="1" min="10" max="10"/>
  </cols>
  <sheetData>
    <row r="1" ht="24" customHeight="1">
      <c r="A1" s="1" t="inlineStr">
        <is>
          <t>Evidence Room · Agent KPI Scorecard</t>
        </is>
      </c>
    </row>
    <row r="2">
      <c r="A2" s="2" t="inlineStr">
        <is>
          <t>Activity / Operational / Financial / Risk-control. No blended 'AI score'.</t>
        </is>
      </c>
    </row>
    <row r="4" ht="28" customHeight="1">
      <c r="A4" s="3" t="inlineStr">
        <is>
          <t>ID</t>
        </is>
      </c>
      <c r="B4" s="3" t="inlineStr">
        <is>
          <t>Family</t>
        </is>
      </c>
      <c r="C4" s="3" t="inlineStr">
        <is>
          <t>Metric</t>
        </is>
      </c>
      <c r="D4" s="3" t="inlineStr">
        <is>
          <t>Definition / formula</t>
        </is>
      </c>
      <c r="E4" s="3" t="inlineStr">
        <is>
          <t>Baseline</t>
        </is>
      </c>
      <c r="F4" s="3" t="inlineStr">
        <is>
          <t>Period</t>
        </is>
      </c>
      <c r="G4" s="3" t="inlineStr">
        <is>
          <t>Delta</t>
        </is>
      </c>
      <c r="H4" s="3" t="inlineStr">
        <is>
          <t>Owner</t>
        </is>
      </c>
      <c r="I4" s="3" t="inlineStr">
        <is>
          <t>Evidence</t>
        </is>
      </c>
      <c r="J4" s="3" t="inlineStr">
        <is>
          <t>Red flag</t>
        </is>
      </c>
    </row>
    <row r="5" ht="32" customHeight="1">
      <c r="A5" s="4" t="inlineStr">
        <is>
          <t>A1</t>
        </is>
      </c>
      <c r="B5" s="5" t="inlineStr">
        <is>
          <t>Activity</t>
        </is>
      </c>
      <c r="C5" s="4" t="inlineStr">
        <is>
          <t>Invoices handled</t>
        </is>
      </c>
      <c r="D5" s="4" t="inlineStr">
        <is>
          <t>Count of invoices the agent touched in population t</t>
        </is>
      </c>
      <c r="E5" s="4" t="n">
        <v>18000</v>
      </c>
      <c r="F5" s="4" t="n">
        <v>18000</v>
      </c>
      <c r="G5" s="4">
        <f>IF(OR(E5="",F5=""),"",F5-E5)</f>
        <v/>
      </c>
      <c r="H5" s="4" t="inlineStr">
        <is>
          <t>AP Intake</t>
        </is>
      </c>
      <c r="I5" s="4" t="inlineStr">
        <is>
          <t>Work-object log</t>
        </is>
      </c>
      <c r="J5" s="4" t="inlineStr">
        <is>
          <t>Volume without quality</t>
        </is>
      </c>
    </row>
    <row r="6" ht="32" customHeight="1">
      <c r="A6" s="4" t="inlineStr">
        <is>
          <t>A2</t>
        </is>
      </c>
      <c r="B6" s="5" t="inlineStr">
        <is>
          <t>Activity</t>
        </is>
      </c>
      <c r="C6" s="4" t="inlineStr">
        <is>
          <t>Exceptions handled</t>
        </is>
      </c>
      <c r="D6" s="4" t="inlineStr">
        <is>
          <t>Count of coded exceptions closed or aged in t</t>
        </is>
      </c>
      <c r="E6" s="4" t="n">
        <v>3600</v>
      </c>
      <c r="F6" s="4" t="n">
        <v>3400</v>
      </c>
      <c r="G6" s="4">
        <f>IF(OR(E6="",F6=""),"",F6-E6)</f>
        <v/>
      </c>
      <c r="H6" s="4" t="inlineStr">
        <is>
          <t>Exception Lead</t>
        </is>
      </c>
      <c r="I6" s="4" t="inlineStr">
        <is>
          <t>Taxonomy codes</t>
        </is>
      </c>
      <c r="J6" s="4" t="inlineStr">
        <is>
          <t>Closed without resolution</t>
        </is>
      </c>
    </row>
    <row r="7" ht="32" customHeight="1">
      <c r="A7" s="4" t="inlineStr">
        <is>
          <t>O1</t>
        </is>
      </c>
      <c r="B7" s="6" t="inlineStr">
        <is>
          <t>Operational</t>
        </is>
      </c>
      <c r="C7" s="4" t="inlineStr">
        <is>
          <t>Extraction accuracy</t>
        </is>
      </c>
      <c r="D7" s="4" t="inlineStr">
        <is>
          <t>Correct header+line fields / sampled invoices</t>
        </is>
      </c>
      <c r="E7" s="7" t="n">
        <v>0.91</v>
      </c>
      <c r="F7" s="7" t="n">
        <v>0.93</v>
      </c>
      <c r="G7" s="7">
        <f>IF(OR(E7="",F7=""),"",F7-E7)</f>
        <v/>
      </c>
      <c r="H7" s="4" t="inlineStr">
        <is>
          <t>Quality Lead</t>
        </is>
      </c>
      <c r="I7" s="4" t="inlineStr">
        <is>
          <t>Golden set</t>
        </is>
      </c>
      <c r="J7" s="4" t="inlineStr">
        <is>
          <t>Accuracy on easy invoices only</t>
        </is>
      </c>
    </row>
    <row r="8" ht="32" customHeight="1">
      <c r="A8" s="4" t="inlineStr">
        <is>
          <t>O2</t>
        </is>
      </c>
      <c r="B8" s="6" t="inlineStr">
        <is>
          <t>Operational</t>
        </is>
      </c>
      <c r="C8" s="4" t="inlineStr">
        <is>
          <t>Matching accuracy</t>
        </is>
      </c>
      <c r="D8" s="4" t="inlineStr">
        <is>
          <t>Correct match decision / sampled matchable invoices</t>
        </is>
      </c>
      <c r="E8" s="7" t="n">
        <v>0.88</v>
      </c>
      <c r="F8" s="7" t="n">
        <v>0.9</v>
      </c>
      <c r="G8" s="7">
        <f>IF(OR(E8="",F8=""),"",F8-E8)</f>
        <v/>
      </c>
      <c r="H8" s="4" t="inlineStr">
        <is>
          <t>Matching Lead</t>
        </is>
      </c>
      <c r="I8" s="4" t="inlineStr">
        <is>
          <t>Dual review</t>
        </is>
      </c>
      <c r="J8" s="4" t="inlineStr">
        <is>
          <t>Tolerance invented by agent</t>
        </is>
      </c>
    </row>
    <row r="9" ht="32" customHeight="1">
      <c r="A9" s="4" t="inlineStr">
        <is>
          <t>O3</t>
        </is>
      </c>
      <c r="B9" s="6" t="inlineStr">
        <is>
          <t>Operational</t>
        </is>
      </c>
      <c r="C9" s="4" t="inlineStr">
        <is>
          <t>False-positive rate</t>
        </is>
      </c>
      <c r="D9" s="4" t="inlineStr">
        <is>
          <t>Incorrect flags / all flags</t>
        </is>
      </c>
      <c r="E9" s="7" t="n">
        <v>0.18</v>
      </c>
      <c r="F9" s="7" t="n">
        <v>0.14</v>
      </c>
      <c r="G9" s="7">
        <f>IF(OR(E9="",F9=""),"",F9-E9)</f>
        <v/>
      </c>
      <c r="H9" s="4" t="inlineStr">
        <is>
          <t>Controls Lead</t>
        </is>
      </c>
      <c r="I9" s="4" t="inlineStr">
        <is>
          <t>Sampled flags</t>
        </is>
      </c>
      <c r="J9" s="4" t="inlineStr">
        <is>
          <t>Gaming by flagging less</t>
        </is>
      </c>
    </row>
    <row r="10" ht="32" customHeight="1">
      <c r="A10" s="4" t="inlineStr">
        <is>
          <t>O4</t>
        </is>
      </c>
      <c r="B10" s="6" t="inlineStr">
        <is>
          <t>Operational</t>
        </is>
      </c>
      <c r="C10" s="4" t="inlineStr">
        <is>
          <t>False-negative rate</t>
        </is>
      </c>
      <c r="D10" s="4" t="inlineStr">
        <is>
          <t>Missed true issues / all true issues in sample</t>
        </is>
      </c>
      <c r="E10" s="7" t="n">
        <v>0.07000000000000001</v>
      </c>
      <c r="F10" s="7" t="n">
        <v>0.06</v>
      </c>
      <c r="G10" s="7">
        <f>IF(OR(E10="",F10=""),"",F10-E10)</f>
        <v/>
      </c>
      <c r="H10" s="4" t="inlineStr">
        <is>
          <t>Controls Lead</t>
        </is>
      </c>
      <c r="I10" s="4" t="inlineStr">
        <is>
          <t>Lookback sample</t>
        </is>
      </c>
      <c r="J10" s="4" t="inlineStr">
        <is>
          <t>Worse than FPR hide</t>
        </is>
      </c>
    </row>
    <row r="11" ht="32" customHeight="1">
      <c r="A11" s="4" t="inlineStr">
        <is>
          <t>O5</t>
        </is>
      </c>
      <c r="B11" s="6" t="inlineStr">
        <is>
          <t>Operational</t>
        </is>
      </c>
      <c r="C11" s="4" t="inlineStr">
        <is>
          <t>STP rate</t>
        </is>
      </c>
      <c r="D11" s="4" t="inlineStr">
        <is>
          <t>Posted with no human edit / invoices in population</t>
        </is>
      </c>
      <c r="E11" s="7" t="n">
        <v>0.31</v>
      </c>
      <c r="F11" s="7" t="n">
        <v>0.36</v>
      </c>
      <c r="G11" s="7">
        <f>IF(OR(E11="",F11=""),"",F11-E11)</f>
        <v/>
      </c>
      <c r="H11" s="4" t="inlineStr">
        <is>
          <t>AP Manager</t>
        </is>
      </c>
      <c r="I11" s="4" t="inlineStr">
        <is>
          <t>ERP change log</t>
        </is>
      </c>
      <c r="J11" s="4" t="inlineStr">
        <is>
          <t>STP of junk postings</t>
        </is>
      </c>
    </row>
    <row r="12" ht="32" customHeight="1">
      <c r="A12" s="4" t="inlineStr">
        <is>
          <t>O6</t>
        </is>
      </c>
      <c r="B12" s="6" t="inlineStr">
        <is>
          <t>Operational</t>
        </is>
      </c>
      <c r="C12" s="4" t="inlineStr">
        <is>
          <t>Human intervention rate</t>
        </is>
      </c>
      <c r="D12" s="4" t="inlineStr">
        <is>
          <t>1 − untouched postings</t>
        </is>
      </c>
      <c r="E12" s="7" t="n">
        <v>0.6899999999999999</v>
      </c>
      <c r="F12" s="7" t="n">
        <v>0.64</v>
      </c>
      <c r="G12" s="7">
        <f>IF(OR(E12="",F12=""),"",F12-E12)</f>
        <v/>
      </c>
      <c r="H12" s="4" t="inlineStr">
        <is>
          <t>AP Manager</t>
        </is>
      </c>
      <c r="I12" s="4" t="inlineStr">
        <is>
          <t>ERP</t>
        </is>
      </c>
      <c r="J12" s="4" t="inlineStr">
        <is>
          <t>Intervention ≠ control</t>
        </is>
      </c>
    </row>
    <row r="13" ht="32" customHeight="1">
      <c r="A13" s="4" t="inlineStr">
        <is>
          <t>O7</t>
        </is>
      </c>
      <c r="B13" s="6" t="inlineStr">
        <is>
          <t>Operational</t>
        </is>
      </c>
      <c r="C13" s="4" t="inlineStr">
        <is>
          <t>Avg resolution minutes</t>
        </is>
      </c>
      <c r="D13" s="4" t="inlineStr">
        <is>
          <t>Sum(minutes)/exceptions resolved</t>
        </is>
      </c>
      <c r="E13" s="4" t="n">
        <v>22</v>
      </c>
      <c r="F13" s="4" t="n">
        <v>19</v>
      </c>
      <c r="G13" s="4">
        <f>IF(OR(E13="",F13=""),"",F13-E13)</f>
        <v/>
      </c>
      <c r="H13" s="4" t="inlineStr">
        <is>
          <t>Exception Lead</t>
        </is>
      </c>
      <c r="I13" s="4" t="inlineStr">
        <is>
          <t>Timestamped work objects</t>
        </is>
      </c>
      <c r="J13" s="4" t="inlineStr">
        <is>
          <t>Clock stopped incorrectly</t>
        </is>
      </c>
    </row>
    <row r="14" ht="32" customHeight="1">
      <c r="A14" s="4" t="inlineStr">
        <is>
          <t>O8</t>
        </is>
      </c>
      <c r="B14" s="6" t="inlineStr">
        <is>
          <t>Operational</t>
        </is>
      </c>
      <c r="C14" s="4" t="inlineStr">
        <is>
          <t>Time to posting (hrs)</t>
        </is>
      </c>
      <c r="D14" s="4" t="inlineStr">
        <is>
          <t>Median hours invoice receipt → post</t>
        </is>
      </c>
      <c r="E14" s="4" t="n">
        <v>86</v>
      </c>
      <c r="F14" s="4" t="n">
        <v>74</v>
      </c>
      <c r="G14" s="4">
        <f>IF(OR(E14="",F14=""),"",F14-E14)</f>
        <v/>
      </c>
      <c r="H14" s="4" t="inlineStr">
        <is>
          <t>AP Manager</t>
        </is>
      </c>
      <c r="I14" s="4" t="inlineStr">
        <is>
          <t>Receipt+post stamps</t>
        </is>
      </c>
      <c r="J14" s="4" t="inlineStr">
        <is>
          <t>Parked-as-posted cheat</t>
        </is>
      </c>
    </row>
    <row r="15" ht="32" customHeight="1">
      <c r="A15" s="4" t="inlineStr">
        <is>
          <t>O9</t>
        </is>
      </c>
      <c r="B15" s="6" t="inlineStr">
        <is>
          <t>Operational</t>
        </is>
      </c>
      <c r="C15" s="4" t="inlineStr">
        <is>
          <t>Repeat exception rate</t>
        </is>
      </c>
      <c r="D15" s="4" t="inlineStr">
        <is>
          <t>Reopened or same vendor+code within 30d / resolved</t>
        </is>
      </c>
      <c r="E15" s="7" t="n">
        <v>0.16</v>
      </c>
      <c r="F15" s="7" t="n">
        <v>0.13</v>
      </c>
      <c r="G15" s="7">
        <f>IF(OR(E15="",F15=""),"",F15-E15)</f>
        <v/>
      </c>
      <c r="H15" s="4" t="inlineStr">
        <is>
          <t>Process Excellence</t>
        </is>
      </c>
      <c r="I15" s="4" t="inlineStr">
        <is>
          <t>Taxonomy</t>
        </is>
      </c>
      <c r="J15" s="4" t="inlineStr">
        <is>
          <t>Renaming codes</t>
        </is>
      </c>
    </row>
    <row r="16" ht="32" customHeight="1">
      <c r="A16" s="4" t="inlineStr">
        <is>
          <t>O10</t>
        </is>
      </c>
      <c r="B16" s="6" t="inlineStr">
        <is>
          <t>Operational</t>
        </is>
      </c>
      <c r="C16" s="4" t="inlineStr">
        <is>
          <t>On-time supplier follow-up</t>
        </is>
      </c>
      <c r="D16" s="4" t="inlineStr">
        <is>
          <t>Chases sent within SLA / required chases</t>
        </is>
      </c>
      <c r="E16" s="7" t="n">
        <v>0.62</v>
      </c>
      <c r="F16" s="7" t="n">
        <v>0.78</v>
      </c>
      <c r="G16" s="7">
        <f>IF(OR(E16="",F16=""),"",F16-E16)</f>
        <v/>
      </c>
      <c r="H16" s="4" t="inlineStr">
        <is>
          <t>Vendor comms</t>
        </is>
      </c>
      <c r="I16" s="4" t="inlineStr">
        <is>
          <t>A08 log</t>
        </is>
      </c>
      <c r="J16" s="4" t="inlineStr">
        <is>
          <t>Sent ≠ answered</t>
        </is>
      </c>
    </row>
    <row r="17" ht="32" customHeight="1">
      <c r="A17" s="4" t="inlineStr">
        <is>
          <t>O11</t>
        </is>
      </c>
      <c r="B17" s="6" t="inlineStr">
        <is>
          <t>Operational</t>
        </is>
      </c>
      <c r="C17" s="4" t="inlineStr">
        <is>
          <t>Missing-receipt reduction</t>
        </is>
      </c>
      <c r="D17" s="4" t="inlineStr">
        <is>
          <t>Open GRNI &gt; policy / baseline same ageing</t>
        </is>
      </c>
      <c r="E17" s="4" t="n">
        <v>420</v>
      </c>
      <c r="F17" s="4" t="n">
        <v>360</v>
      </c>
      <c r="G17" s="4">
        <f>IF(OR(E17="",F17=""),"",F17-E17)</f>
        <v/>
      </c>
      <c r="H17" s="4" t="inlineStr">
        <is>
          <t>Receiving Lead</t>
        </is>
      </c>
      <c r="I17" s="4" t="inlineStr">
        <is>
          <t>GRNI report</t>
        </is>
      </c>
      <c r="J17" s="4" t="inlineStr">
        <is>
          <t>Write-offs as 'reduction'</t>
        </is>
      </c>
    </row>
    <row r="18" ht="32" customHeight="1">
      <c r="A18" s="4" t="inlineStr">
        <is>
          <t>R1</t>
        </is>
      </c>
      <c r="B18" s="8" t="inlineStr">
        <is>
          <t>Risk-control</t>
        </is>
      </c>
      <c r="C18" s="4" t="inlineStr">
        <is>
          <t>Control breaches</t>
        </is>
      </c>
      <c r="D18" s="4" t="inlineStr">
        <is>
          <t>Count of SoD / approval / pay-release violations</t>
        </is>
      </c>
      <c r="E18" s="4" t="n">
        <v>2</v>
      </c>
      <c r="F18" s="4" t="n">
        <v>0</v>
      </c>
      <c r="G18" s="4">
        <f>IF(OR(E18="",F18=""),"",F18-E18)</f>
        <v/>
      </c>
      <c r="H18" s="4" t="inlineStr">
        <is>
          <t>Internal Audit</t>
        </is>
      </c>
      <c r="I18" s="4" t="inlineStr">
        <is>
          <t>Exception log</t>
        </is>
      </c>
      <c r="J18" s="4" t="inlineStr">
        <is>
          <t>Unlogged overrides</t>
        </is>
      </c>
    </row>
    <row r="19" ht="32" customHeight="1">
      <c r="A19" s="4" t="inlineStr">
        <is>
          <t>R2</t>
        </is>
      </c>
      <c r="B19" s="8" t="inlineStr">
        <is>
          <t>Risk-control</t>
        </is>
      </c>
      <c r="C19" s="4" t="inlineStr">
        <is>
          <t>Escalation rate</t>
        </is>
      </c>
      <c r="D19" s="4" t="inlineStr">
        <is>
          <t>Items escalated / items in scope</t>
        </is>
      </c>
      <c r="E19" s="7" t="n">
        <v>0.09</v>
      </c>
      <c r="F19" s="7" t="n">
        <v>0.08</v>
      </c>
      <c r="G19" s="7">
        <f>IF(OR(E19="",F19=""),"",F19-E19)</f>
        <v/>
      </c>
      <c r="H19" s="4" t="inlineStr">
        <is>
          <t>AP Manager</t>
        </is>
      </c>
      <c r="I19" s="4" t="inlineStr">
        <is>
          <t>A16 queue</t>
        </is>
      </c>
      <c r="J19" s="4" t="inlineStr">
        <is>
          <t>Suppressed escalations</t>
        </is>
      </c>
    </row>
    <row r="20" ht="32" customHeight="1">
      <c r="A20" s="4" t="inlineStr">
        <is>
          <t>R3</t>
        </is>
      </c>
      <c r="B20" s="8" t="inlineStr">
        <is>
          <t>Risk-control</t>
        </is>
      </c>
      <c r="C20" s="4" t="inlineStr">
        <is>
          <t>Audit exceptions</t>
        </is>
      </c>
      <c r="D20" s="4" t="inlineStr">
        <is>
          <t>IA/external findings on agent population</t>
        </is>
      </c>
      <c r="E20" s="4" t="n">
        <v>1</v>
      </c>
      <c r="F20" s="4" t="n">
        <v>0</v>
      </c>
      <c r="G20" s="4">
        <f>IF(OR(E20="",F20=""),"",F20-E20)</f>
        <v/>
      </c>
      <c r="H20" s="4" t="inlineStr">
        <is>
          <t>IA</t>
        </is>
      </c>
      <c r="I20" s="4" t="inlineStr">
        <is>
          <t>IA tracker</t>
        </is>
      </c>
      <c r="J20" s="4" t="inlineStr">
        <is>
          <t>Scope games</t>
        </is>
      </c>
    </row>
    <row r="21" ht="32" customHeight="1">
      <c r="A21" s="4" t="inlineStr">
        <is>
          <t>R4</t>
        </is>
      </c>
      <c r="B21" s="8" t="inlineStr">
        <is>
          <t>Risk-control</t>
        </is>
      </c>
      <c r="C21" s="4" t="inlineStr">
        <is>
          <t>Rework rate</t>
        </is>
      </c>
      <c r="D21" s="4" t="inlineStr">
        <is>
          <t>Reversal or recode / postings</t>
        </is>
      </c>
      <c r="E21" s="7" t="n">
        <v>0.04</v>
      </c>
      <c r="F21" s="7" t="n">
        <v>0.035</v>
      </c>
      <c r="G21" s="7">
        <f>IF(OR(E21="",F21=""),"",F21-E21)</f>
        <v/>
      </c>
      <c r="H21" s="4" t="inlineStr">
        <is>
          <t>Quality Lead</t>
        </is>
      </c>
      <c r="I21" s="4" t="inlineStr">
        <is>
          <t>ERP reversals</t>
        </is>
      </c>
      <c r="J21" s="4" t="inlineStr">
        <is>
          <t>Silent recodes</t>
        </is>
      </c>
    </row>
    <row r="22" ht="32" customHeight="1">
      <c r="A22" s="4" t="inlineStr">
        <is>
          <t>F1</t>
        </is>
      </c>
      <c r="B22" s="9" t="inlineStr">
        <is>
          <t>Financial</t>
        </is>
      </c>
      <c r="C22" s="4" t="inlineStr">
        <is>
          <t>Cost per invoice</t>
        </is>
      </c>
      <c r="D22" s="4" t="inlineStr">
        <is>
          <t>Attributed AP cost / invoices</t>
        </is>
      </c>
      <c r="E22" s="4" t="n">
        <v>9.800000000000001</v>
      </c>
      <c r="F22" s="4" t="n">
        <v>9.4</v>
      </c>
      <c r="G22" s="4">
        <f>IF(OR(E22="",F22=""),"",F22-E22)</f>
        <v/>
      </c>
      <c r="H22" s="4" t="inlineStr">
        <is>
          <t>FP&amp;A</t>
        </is>
      </c>
      <c r="I22" s="4" t="inlineStr">
        <is>
          <t>Cost model</t>
        </is>
      </c>
      <c r="J22" s="4" t="inlineStr">
        <is>
          <t>Using vendor-blog $</t>
        </is>
      </c>
    </row>
    <row r="23" ht="32" customHeight="1">
      <c r="A23" s="4" t="inlineStr">
        <is>
          <t>F2</t>
        </is>
      </c>
      <c r="B23" s="9" t="inlineStr">
        <is>
          <t>Financial</t>
        </is>
      </c>
      <c r="C23" s="4" t="inlineStr">
        <is>
          <t>AI inference cost</t>
        </is>
      </c>
      <c r="D23" s="4" t="inlineStr">
        <is>
          <t>Model+tool $ in t</t>
        </is>
      </c>
      <c r="E23" s="4" t="n">
        <v>6500</v>
      </c>
      <c r="F23" s="4" t="n">
        <v>6400</v>
      </c>
      <c r="G23" s="4">
        <f>IF(OR(E23="",F23=""),"",F23-E23)</f>
        <v/>
      </c>
      <c r="H23" s="4" t="inlineStr">
        <is>
          <t>Systems Owner</t>
        </is>
      </c>
      <c r="I23" s="4" t="inlineStr">
        <is>
          <t>Vendor invoice</t>
        </is>
      </c>
      <c r="J23" s="4" t="inlineStr">
        <is>
          <t>Hidden seats</t>
        </is>
      </c>
    </row>
    <row r="24" ht="32" customHeight="1">
      <c r="A24" s="4" t="inlineStr">
        <is>
          <t>F3</t>
        </is>
      </c>
      <c r="B24" s="9" t="inlineStr">
        <is>
          <t>Financial</t>
        </is>
      </c>
      <c r="C24" s="4" t="inlineStr">
        <is>
          <t>Cost per correct outcome</t>
        </is>
      </c>
      <c r="D24" s="4" t="inlineStr">
        <is>
          <t>(Labour+AI $) / correct postings in sample</t>
        </is>
      </c>
      <c r="E24" s="4" t="n">
        <v>11.2</v>
      </c>
      <c r="F24" s="4" t="n">
        <v>10.6</v>
      </c>
      <c r="G24" s="4">
        <f>IF(OR(E24="",F24=""),"",F24-E24)</f>
        <v/>
      </c>
      <c r="H24" s="4" t="inlineStr">
        <is>
          <t>FP&amp;A</t>
        </is>
      </c>
      <c r="I24" s="4" t="inlineStr">
        <is>
          <t>Sample+cost</t>
        </is>
      </c>
      <c r="J24" s="4" t="inlineStr">
        <is>
          <t>Denominator without quality</t>
        </is>
      </c>
    </row>
    <row r="25" ht="32" customHeight="1">
      <c r="A25" s="4" t="inlineStr">
        <is>
          <t>F4</t>
        </is>
      </c>
      <c r="B25" s="9" t="inlineStr">
        <is>
          <t>Financial</t>
        </is>
      </c>
      <c r="C25" s="4" t="inlineStr">
        <is>
          <t>Hours released</t>
        </is>
      </c>
      <c r="D25" s="4" t="inlineStr">
        <is>
          <t>Gross hours vs baseline (not cash)</t>
        </is>
      </c>
      <c r="E25" s="4" t="n">
        <v>180</v>
      </c>
      <c r="F25" s="4" t="n">
        <v>240</v>
      </c>
      <c r="G25" s="4">
        <f>IF(OR(E25="",F25=""),"",F25-E25)</f>
        <v/>
      </c>
      <c r="H25" s="4" t="inlineStr">
        <is>
          <t>AP Manager</t>
        </is>
      </c>
      <c r="I25" s="4" t="inlineStr">
        <is>
          <t>Time study</t>
        </is>
      </c>
      <c r="J25" s="4" t="inlineStr">
        <is>
          <t>Calling hours 'savings'</t>
        </is>
      </c>
    </row>
    <row r="26" ht="32" customHeight="1">
      <c r="A26" s="4" t="inlineStr">
        <is>
          <t>F5</t>
        </is>
      </c>
      <c r="B26" s="9" t="inlineStr">
        <is>
          <t>Financial</t>
        </is>
      </c>
      <c r="C26" s="4" t="inlineStr">
        <is>
          <t>Validated savings</t>
        </is>
      </c>
      <c r="D26" s="4" t="inlineStr">
        <is>
          <t>Cash or cost-base change signed by Finance</t>
        </is>
      </c>
      <c r="E26" s="4" t="n">
        <v>0</v>
      </c>
      <c r="F26" s="4" t="n">
        <v>0</v>
      </c>
      <c r="G26" s="4">
        <f>IF(OR(E26="",F26=""),"",F26-E26)</f>
        <v/>
      </c>
      <c r="H26" s="4" t="inlineStr">
        <is>
          <t>Controller</t>
        </is>
      </c>
      <c r="I26" s="4" t="inlineStr">
        <is>
          <t>GL / budget</t>
        </is>
      </c>
      <c r="J26" s="4" t="inlineStr">
        <is>
          <t>Unsigned slides</t>
        </is>
      </c>
    </row>
    <row r="30" ht="36" customHeight="1">
      <c r="A30" s="10" t="inlineStr">
        <is>
          <t>Validated savings starts at 0 until Finance signs a cost-base or cash change. Do not treat hours released as savings.</t>
        </is>
      </c>
    </row>
  </sheetData>
  <mergeCells count="3">
    <mergeCell ref="A2:H2"/>
    <mergeCell ref="A30:J30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2026-09-20T16:17:34Z</dcterms:created>
  <dcterms:modified xmlns:dcterms="http://purl.org/dc/terms/" xmlns:xsi="http://www.w3.org/2001/XMLSchema-instance" xsi:type="dcterms:W3CDTF">2026-09-20T16:17:34Z</dcterms:modified>
</cp:coreProperties>
</file>