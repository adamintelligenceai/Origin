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RIVED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PI" sheetId="6" state="visible" r:id="rId6"/>
    <sheet xmlns:r="http://schemas.openxmlformats.org/officeDocument/2006/relationships" name="RESEARCH" sheetId="7" state="visible" r:id="rId7"/>
    <sheet xmlns:r="http://schemas.openxmlformats.org/officeDocument/2006/relationships"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7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  <fill>
      <patternFill patternType="solid">
        <fgColor rgb="00F6E7B2"/>
      </patternFill>
    </fill>
    <fill>
      <patternFill patternType="solid">
        <fgColor rgb="00D7E4F0"/>
      </patternFill>
    </fill>
    <fill>
      <patternFill patternType="solid">
        <fgColor rgb="00F3D2B5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9" fontId="0" fillId="4" borderId="1" applyAlignment="1" pivotButton="0" quotePrefix="0" xfId="0">
      <alignment wrapText="1"/>
    </xf>
    <xf numFmtId="9" fontId="0" fillId="5" borderId="1" applyAlignment="1" pivotButton="0" quotePrefix="0" xfId="0">
      <alignment wrapText="1"/>
    </xf>
    <xf numFmtId="164" fontId="0" fillId="5" borderId="1" applyAlignment="1" pivotButton="0" quotePrefix="0" xfId="0">
      <alignment wrapText="1"/>
    </xf>
    <xf numFmtId="9" fontId="0" fillId="6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6" customHeight="1">
      <c r="A1" s="1" t="inlineStr">
        <is>
          <t>Outputs are arithmetic on your inputs. They are not a forecast and not a promise of savings, payback, or ROI. Duplicate-suspect lines do not create savings. Leave unknown inputs blank; do not replace them with industry averages.</t>
        </is>
      </c>
    </row>
    <row r="3">
      <c r="A3" t="inlineStr">
        <is>
          <t>EVIDENCE ROOM — AP AGENT OS</t>
        </is>
      </c>
    </row>
    <row r="4">
      <c r="A4" t="inlineStr">
        <is>
          <t>Business-case workbook · Professional</t>
        </is>
      </c>
    </row>
    <row r="6">
      <c r="A6" t="inlineStr">
        <is>
          <t>Organisation</t>
        </is>
      </c>
      <c r="B6" t="inlineStr">
        <is>
          <t>Northline Industrials (replace)</t>
        </is>
      </c>
    </row>
    <row r="7">
      <c r="A7" t="inlineStr">
        <is>
          <t>Owner</t>
        </is>
      </c>
      <c r="B7" t="inlineStr"/>
    </row>
    <row r="8">
      <c r="A8" t="inlineStr">
        <is>
          <t>Date</t>
        </is>
      </c>
      <c r="B8" t="inlineStr">
        <is>
          <t>2026-09-20</t>
        </is>
      </c>
    </row>
    <row r="9">
      <c r="A9" t="inlineStr">
        <is>
          <t>Envelope</t>
        </is>
      </c>
      <c r="B9" t="inlineStr">
        <is>
          <t>Narrow / Central / Inclusive — state which you are using</t>
        </is>
      </c>
    </row>
    <row r="11">
      <c r="A11" t="inlineStr">
        <is>
          <t>Do not copy Ardent or McKinsey figures into INPUTS. RESEARCH is locked text only.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6" customWidth="1" min="4" max="4"/>
    <col width="16" customWidth="1" min="5" max="5"/>
    <col width="42" customWidth="1" min="6" max="6"/>
  </cols>
  <sheetData>
    <row r="1" ht="36" customHeight="1">
      <c r="A1" s="1" t="inlineStr">
        <is>
          <t>Yellow = required for baseline. Blue = optional. Orange = efficiency cases (I13). Blank means unknown — do not fill with industry averages.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Named range</t>
        </is>
      </c>
      <c r="D3" s="2" t="inlineStr">
        <is>
          <t>Value</t>
        </is>
      </c>
      <c r="E3" s="2" t="inlineStr">
        <is>
          <t>Unit</t>
        </is>
      </c>
      <c r="F3" s="2" t="inlineStr">
        <is>
          <t>Notes</t>
        </is>
      </c>
    </row>
    <row r="4">
      <c r="A4" s="3" t="inlineStr">
        <is>
          <t>I1</t>
        </is>
      </c>
      <c r="B4" s="3" t="inlineStr">
        <is>
          <t>Annual invoice volume</t>
        </is>
      </c>
      <c r="C4" s="3" t="inlineStr">
        <is>
          <t>vol_invoices</t>
        </is>
      </c>
      <c r="D4" s="4" t="n">
        <v>180000</v>
      </c>
      <c r="E4" s="3" t="inlineStr">
        <is>
          <t>invoices</t>
        </is>
      </c>
      <c r="F4" s="3" t="inlineStr">
        <is>
          <t>Northline illustration: 15,000 / month</t>
        </is>
      </c>
    </row>
    <row r="5">
      <c r="A5" s="3" t="inlineStr">
        <is>
          <t>I2</t>
        </is>
      </c>
      <c r="B5" s="3" t="inlineStr">
        <is>
          <t>AP FTE on path</t>
        </is>
      </c>
      <c r="C5" s="3" t="inlineStr">
        <is>
          <t>fte_path</t>
        </is>
      </c>
      <c r="D5" s="4" t="n">
        <v>14</v>
      </c>
      <c r="E5" s="3" t="inlineStr">
        <is>
          <t>FTE</t>
        </is>
      </c>
      <c r="F5" s="3" t="inlineStr">
        <is>
          <t>Path labour only</t>
        </is>
      </c>
    </row>
    <row r="6">
      <c r="A6" s="3" t="inlineStr">
        <is>
          <t>I3</t>
        </is>
      </c>
      <c r="B6" s="3" t="inlineStr">
        <is>
          <t>Fully loaded cost / FTE</t>
        </is>
      </c>
      <c r="C6" s="3" t="inlineStr">
        <is>
          <t>loaded_cost_fte</t>
        </is>
      </c>
      <c r="D6" s="5" t="n">
        <v>85000</v>
      </c>
      <c r="E6" s="3" t="inlineStr">
        <is>
          <t>USD / year</t>
        </is>
      </c>
      <c r="F6" s="3" t="inlineStr"/>
    </row>
    <row r="7">
      <c r="A7" s="3" t="inlineStr">
        <is>
          <t>I4</t>
        </is>
      </c>
      <c r="B7" s="3" t="inlineStr">
        <is>
          <t>Hours per FTE</t>
        </is>
      </c>
      <c r="C7" s="3" t="inlineStr">
        <is>
          <t>hours_per_fte</t>
        </is>
      </c>
      <c r="D7" s="4" t="n">
        <v>1800</v>
      </c>
      <c r="E7" s="3" t="inlineStr">
        <is>
          <t>hours</t>
        </is>
      </c>
      <c r="F7" s="3" t="inlineStr">
        <is>
          <t>Must stay visible</t>
        </is>
      </c>
    </row>
    <row r="8">
      <c r="A8" s="3" t="inlineStr">
        <is>
          <t>I5</t>
        </is>
      </c>
      <c r="B8" s="3" t="inlineStr">
        <is>
          <t>Manual-touch share</t>
        </is>
      </c>
      <c r="C8" s="3" t="inlineStr">
        <is>
          <t>manual_touch_pct</t>
        </is>
      </c>
      <c r="D8" s="6" t="n">
        <v>0.55</v>
      </c>
      <c r="E8" s="3" t="inlineStr">
        <is>
          <t>0-1</t>
        </is>
      </c>
      <c r="F8" s="3" t="inlineStr"/>
    </row>
    <row r="9">
      <c r="A9" s="3" t="inlineStr">
        <is>
          <t>I6</t>
        </is>
      </c>
      <c r="B9" s="3" t="inlineStr">
        <is>
          <t>Minutes per manual touch</t>
        </is>
      </c>
      <c r="C9" s="3" t="inlineStr">
        <is>
          <t>minutes_per_touch</t>
        </is>
      </c>
      <c r="D9" s="4" t="n">
        <v>8</v>
      </c>
      <c r="E9" s="3" t="inlineStr">
        <is>
          <t>minutes</t>
        </is>
      </c>
      <c r="F9" s="3" t="inlineStr">
        <is>
          <t>Required for T</t>
        </is>
      </c>
    </row>
    <row r="10">
      <c r="A10" s="3" t="inlineStr">
        <is>
          <t>I7</t>
        </is>
      </c>
      <c r="B10" s="3" t="inlineStr">
        <is>
          <t>Exception rate</t>
        </is>
      </c>
      <c r="C10" s="3" t="inlineStr">
        <is>
          <t>exception_rate</t>
        </is>
      </c>
      <c r="D10" s="6" t="n">
        <v>0.22</v>
      </c>
      <c r="E10" s="3" t="inlineStr">
        <is>
          <t>0-1</t>
        </is>
      </c>
      <c r="F10" s="3" t="inlineStr">
        <is>
          <t>Your rate, not a benchmark target</t>
        </is>
      </c>
    </row>
    <row r="11">
      <c r="A11" s="3" t="inlineStr">
        <is>
          <t>I8</t>
        </is>
      </c>
      <c r="B11" s="3" t="inlineStr">
        <is>
          <t>Minutes per exception</t>
        </is>
      </c>
      <c r="C11" s="3" t="inlineStr">
        <is>
          <t>minutes_per_exception</t>
        </is>
      </c>
      <c r="D11" s="4" t="n">
        <v>25</v>
      </c>
      <c r="E11" s="3" t="inlineStr">
        <is>
          <t>minutes</t>
        </is>
      </c>
      <c r="F11" s="3" t="inlineStr"/>
    </row>
    <row r="12">
      <c r="A12" s="3" t="inlineStr">
        <is>
          <t>I9</t>
        </is>
      </c>
      <c r="B12" s="3" t="inlineStr">
        <is>
          <t>Mechanical share of exceptions</t>
        </is>
      </c>
      <c r="C12" s="3" t="inlineStr">
        <is>
          <t>mechanical_share_of_exc</t>
        </is>
      </c>
      <c r="D12" s="7" t="n">
        <v>0</v>
      </c>
      <c r="E12" s="3" t="inlineStr">
        <is>
          <t>0-1</t>
        </is>
      </c>
      <c r="F12" s="3" t="inlineStr">
        <is>
          <t>Default 0 until justified</t>
        </is>
      </c>
    </row>
    <row r="13">
      <c r="A13" s="3" t="inlineStr">
        <is>
          <t>I10</t>
        </is>
      </c>
      <c r="B13" s="3" t="inlineStr">
        <is>
          <t>Duplicate-suspect rate</t>
        </is>
      </c>
      <c r="C13" s="3" t="inlineStr">
        <is>
          <t>dup_suspect_rate</t>
        </is>
      </c>
      <c r="D13" s="7" t="n">
        <v>0.01</v>
      </c>
      <c r="E13" s="3" t="inlineStr">
        <is>
          <t>0-1</t>
        </is>
      </c>
      <c r="F13" s="3" t="inlineStr">
        <is>
          <t>DISPLAY ONLY — not used in savings</t>
        </is>
      </c>
    </row>
    <row r="14">
      <c r="A14" s="3" t="inlineStr">
        <is>
          <t>I11a</t>
        </is>
      </c>
      <c r="B14" s="3" t="inlineStr">
        <is>
          <t>Late-pay cost (known)</t>
        </is>
      </c>
      <c r="C14" s="3" t="inlineStr">
        <is>
          <t>late_pay_cost</t>
        </is>
      </c>
      <c r="D14" s="8" t="inlineStr"/>
      <c r="E14" s="3" t="inlineStr">
        <is>
          <t>USD / year</t>
        </is>
      </c>
      <c r="F14" s="3" t="inlineStr">
        <is>
          <t>Blank = 0 credit</t>
        </is>
      </c>
    </row>
    <row r="15">
      <c r="A15" s="3" t="inlineStr">
        <is>
          <t>I11b</t>
        </is>
      </c>
      <c r="B15" s="3" t="inlineStr">
        <is>
          <t>Early-pay captured (known)</t>
        </is>
      </c>
      <c r="C15" s="3" t="inlineStr">
        <is>
          <t>early_pay_captured</t>
        </is>
      </c>
      <c r="D15" s="8" t="inlineStr"/>
      <c r="E15" s="3" t="inlineStr">
        <is>
          <t>USD / year</t>
        </is>
      </c>
      <c r="F15" s="3" t="inlineStr">
        <is>
          <t>Blank = 0 credit</t>
        </is>
      </c>
    </row>
    <row r="16">
      <c r="A16" s="3" t="inlineStr">
        <is>
          <t>I12a</t>
        </is>
      </c>
      <c r="B16" s="3" t="inlineStr">
        <is>
          <t>Tool / model run cost</t>
        </is>
      </c>
      <c r="C16" s="3" t="inlineStr">
        <is>
          <t>tool_cost</t>
        </is>
      </c>
      <c r="D16" s="5" t="n">
        <v>40000</v>
      </c>
      <c r="E16" s="3" t="inlineStr">
        <is>
          <t>USD / year</t>
        </is>
      </c>
      <c r="F16" s="3" t="inlineStr"/>
    </row>
    <row r="17">
      <c r="A17" s="3" t="inlineStr">
        <is>
          <t>I12b</t>
        </is>
      </c>
      <c r="B17" s="3" t="inlineStr">
        <is>
          <t>Implementation cost</t>
        </is>
      </c>
      <c r="C17" s="3" t="inlineStr">
        <is>
          <t>impl_cost</t>
        </is>
      </c>
      <c r="D17" s="5" t="n">
        <v>75000</v>
      </c>
      <c r="E17" s="3" t="inlineStr">
        <is>
          <t>USD</t>
        </is>
      </c>
      <c r="F17" s="3" t="inlineStr"/>
    </row>
    <row r="18">
      <c r="A18" s="3" t="inlineStr">
        <is>
          <t>I13c</t>
        </is>
      </c>
      <c r="B18" s="3" t="inlineStr">
        <is>
          <t>Efficiency Conservative</t>
        </is>
      </c>
      <c r="C18" s="3" t="inlineStr">
        <is>
          <t>eff_c</t>
        </is>
      </c>
      <c r="D18" s="9" t="n">
        <v>0.08</v>
      </c>
      <c r="E18" s="3" t="inlineStr">
        <is>
          <t>0-1</t>
        </is>
      </c>
      <c r="F18" s="3" t="inlineStr">
        <is>
          <t>Hours released share</t>
        </is>
      </c>
    </row>
    <row r="19">
      <c r="A19" s="3" t="inlineStr">
        <is>
          <t>I13b</t>
        </is>
      </c>
      <c r="B19" s="3" t="inlineStr">
        <is>
          <t>Efficiency Base</t>
        </is>
      </c>
      <c r="C19" s="3" t="inlineStr">
        <is>
          <t>eff_b</t>
        </is>
      </c>
      <c r="D19" s="9" t="n">
        <v>0.15</v>
      </c>
      <c r="E19" s="3" t="inlineStr">
        <is>
          <t>0-1</t>
        </is>
      </c>
      <c r="F19" s="3" t="inlineStr"/>
    </row>
    <row r="20">
      <c r="A20" s="3" t="inlineStr">
        <is>
          <t>I13u</t>
        </is>
      </c>
      <c r="B20" s="3" t="inlineStr">
        <is>
          <t>Efficiency Upside</t>
        </is>
      </c>
      <c r="C20" s="3" t="inlineStr">
        <is>
          <t>eff_u</t>
        </is>
      </c>
      <c r="D20" s="9" t="n">
        <v>0.25</v>
      </c>
      <c r="E20" s="3" t="inlineStr">
        <is>
          <t>0-1</t>
        </is>
      </c>
      <c r="F20" s="3" t="inlineStr"/>
    </row>
    <row r="21">
      <c r="A21" s="3" t="inlineStr">
        <is>
          <t>I14</t>
        </is>
      </c>
      <c r="B21" s="3" t="inlineStr">
        <is>
          <t>Amortisation years</t>
        </is>
      </c>
      <c r="C21" s="3" t="inlineStr">
        <is>
          <t>amort_years</t>
        </is>
      </c>
      <c r="D21" s="10" t="n">
        <v>3</v>
      </c>
      <c r="E21" s="3" t="inlineStr">
        <is>
          <t>years</t>
        </is>
      </c>
      <c r="F21" s="3" t="inlineStr">
        <is>
          <t>For ROI display only</t>
        </is>
      </c>
    </row>
    <row r="24">
      <c r="A24" t="inlineStr">
        <is>
          <t>Use CASES sheet. Do not paste vendor $2.78 / $12.88 into D5.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6" customHeight="1">
      <c r="A1" s="1" t="inlineStr">
        <is>
          <t>Derived. If INPUTS!D4 is 0 or blank, CPI is NA. If exception labour &gt; people cost, flag INPUT_INCONSISTENT.</t>
        </is>
      </c>
    </row>
    <row r="3">
      <c r="A3" s="2" t="inlineStr">
        <is>
          <t>Metric</t>
        </is>
      </c>
      <c r="B3" s="2" t="inlineStr">
        <is>
          <t>Formula result</t>
        </is>
      </c>
    </row>
    <row r="4">
      <c r="A4" s="11" t="inlineStr">
        <is>
          <t>Hourly rate</t>
        </is>
      </c>
      <c r="B4" s="11">
        <f>IF(INPUTS!D7=0,NA(),INPUTS!D6/INPUTS!D7)</f>
        <v/>
      </c>
    </row>
    <row r="5">
      <c r="A5" s="11" t="inlineStr">
        <is>
          <t>D1 People cost</t>
        </is>
      </c>
      <c r="B5" s="12">
        <f>INPUTS!D5*INPUTS!D6</f>
        <v/>
      </c>
    </row>
    <row r="6">
      <c r="A6" s="11" t="inlineStr">
        <is>
          <t>D2 Exceptions</t>
        </is>
      </c>
      <c r="B6" s="11">
        <f>INPUTS!D4*INPUTS!D10</f>
        <v/>
      </c>
    </row>
    <row r="7">
      <c r="A7" s="11" t="inlineStr">
        <is>
          <t>D3 Exception hours</t>
        </is>
      </c>
      <c r="B7" s="11">
        <f>B6*INPUTS!D11/60</f>
        <v/>
      </c>
    </row>
    <row r="8">
      <c r="A8" s="11" t="inlineStr">
        <is>
          <t>D4 Exception labour</t>
        </is>
      </c>
      <c r="B8" s="12">
        <f>B7*B4</f>
        <v/>
      </c>
    </row>
    <row r="9">
      <c r="A9" s="11" t="inlineStr">
        <is>
          <t>T minutes</t>
        </is>
      </c>
      <c r="B9" s="11">
        <f>INPUTS!D4*INPUTS!D8*INPUTS!D9</f>
        <v/>
      </c>
    </row>
    <row r="10">
      <c r="A10" s="11" t="inlineStr">
        <is>
          <t>T hours</t>
        </is>
      </c>
      <c r="B10" s="11">
        <f>B9/60</f>
        <v/>
      </c>
    </row>
    <row r="11">
      <c r="A11" s="11" t="inlineStr">
        <is>
          <t>D5 CPI (Narrow: people/volume)</t>
        </is>
      </c>
      <c r="B11" s="13">
        <f>IF(OR(INPUTS!D4="",INPUTS!D4=0),NA(),B5/INPUTS!D4)</f>
        <v/>
      </c>
    </row>
    <row r="12">
      <c r="A12" s="11" t="inlineStr">
        <is>
          <t>D6 Run cost</t>
        </is>
      </c>
      <c r="B12" s="12">
        <f>INPUTS!D16</f>
        <v/>
      </c>
    </row>
    <row r="13">
      <c r="A13" s="11" t="inlineStr">
        <is>
          <t>D7 Year-1 cash out</t>
        </is>
      </c>
      <c r="B13" s="12">
        <f>INPUTS!D16+INPUTS!D17</f>
        <v/>
      </c>
    </row>
    <row r="14">
      <c r="A14" s="11" t="inlineStr">
        <is>
          <t>Consistency</t>
        </is>
      </c>
      <c r="B14" s="11">
        <f>IF(B8&gt;B5,"INPUT_INCONSISTENT","OK")</f>
        <v/>
      </c>
    </row>
    <row r="15">
      <c r="A15" s="11" t="inlineStr">
        <is>
          <t>Dup-suspect count (display only)</t>
        </is>
      </c>
      <c r="B15" s="11">
        <f>INPUTS!D4*INPUTS!D13</f>
        <v/>
      </c>
    </row>
    <row r="16">
      <c r="A16" s="11" t="inlineStr">
        <is>
          <t>Dup-suspect savings (forced)</t>
        </is>
      </c>
      <c r="B16" s="11" t="n">
        <v>0</v>
      </c>
    </row>
    <row r="19">
      <c r="A19" t="inlineStr">
        <is>
          <t>Hours released are not validated financial savings until Finance attests a method.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 ht="36" customHeight="1">
      <c r="A1" s="1" t="inlineStr">
        <is>
          <t>Conservative / Base / Upside. Duplicate-suspect savings remain 0 in every case.</t>
        </is>
      </c>
    </row>
    <row r="3">
      <c r="A3" s="2" t="inlineStr">
        <is>
          <t>Line</t>
        </is>
      </c>
      <c r="B3" s="2" t="inlineStr">
        <is>
          <t>Conservative</t>
        </is>
      </c>
      <c r="C3" s="2" t="inlineStr">
        <is>
          <t>Base</t>
        </is>
      </c>
      <c r="D3" s="2" t="inlineStr">
        <is>
          <t>Upside</t>
        </is>
      </c>
    </row>
    <row r="4">
      <c r="A4" s="11" t="inlineStr">
        <is>
          <t>Efficiency applied</t>
        </is>
      </c>
      <c r="B4" s="14">
        <f>INPUTS!D18</f>
        <v/>
      </c>
      <c r="C4" s="14">
        <f>INPUTS!D19</f>
        <v/>
      </c>
      <c r="D4" s="14">
        <f>INPUTS!D20</f>
        <v/>
      </c>
    </row>
    <row r="5">
      <c r="A5" s="11" t="inlineStr">
        <is>
          <t>Hours released (estimated)</t>
        </is>
      </c>
      <c r="B5" s="11">
        <f>DERIVED!B10*B4</f>
        <v/>
      </c>
      <c r="C5" s="11">
        <f>DERIVED!B10*C4</f>
        <v/>
      </c>
      <c r="D5" s="11">
        <f>DERIVED!B10*D4</f>
        <v/>
      </c>
    </row>
    <row r="6">
      <c r="A6" s="11" t="inlineStr">
        <is>
          <t>Labour capacity value (estimated)</t>
        </is>
      </c>
      <c r="B6" s="12">
        <f>B5*DERIVED!B4</f>
        <v/>
      </c>
      <c r="C6" s="12">
        <f>C5*DERIVED!B4</f>
        <v/>
      </c>
      <c r="D6" s="12">
        <f>D5*DERIVED!B4</f>
        <v/>
      </c>
    </row>
    <row r="7">
      <c r="A7" s="11" t="inlineStr">
        <is>
          <t>Late-pay / discount change (only if you entered it)</t>
        </is>
      </c>
      <c r="B7" s="12">
        <f>IF(INPUTS!D14="",0,0)</f>
        <v/>
      </c>
      <c r="C7" s="12">
        <f>IF(INPUTS!D15="",0,0)</f>
        <v/>
      </c>
      <c r="D7" s="12" t="n">
        <v>0</v>
      </c>
    </row>
    <row r="8">
      <c r="A8" s="11" t="inlineStr">
        <is>
          <t>Duplicate-suspect savings</t>
        </is>
      </c>
      <c r="B8" s="12" t="n">
        <v>0</v>
      </c>
      <c r="C8" s="12" t="n">
        <v>0</v>
      </c>
      <c r="D8" s="12" t="n">
        <v>0</v>
      </c>
    </row>
    <row r="9">
      <c r="A9" s="11" t="inlineStr">
        <is>
          <t>Run + impl (year 1)</t>
        </is>
      </c>
      <c r="B9" s="12">
        <f>DERIVED!B13</f>
        <v/>
      </c>
      <c r="C9" s="12">
        <f>DERIVED!B13</f>
        <v/>
      </c>
      <c r="D9" s="12">
        <f>DERIVED!B13</f>
        <v/>
      </c>
    </row>
    <row r="10">
      <c r="A10" s="11" t="inlineStr">
        <is>
          <t>Net year-1 (estimated capacity minus cash out)</t>
        </is>
      </c>
      <c r="B10" s="12">
        <f>B6+B7+B8-B9</f>
        <v/>
      </c>
      <c r="C10" s="12">
        <f>C6+C7+C8-C9</f>
        <v/>
      </c>
      <c r="D10" s="12">
        <f>D6+D7+D8-D9</f>
        <v/>
      </c>
    </row>
    <row r="11">
      <c r="A11" s="11" t="inlineStr">
        <is>
          <t>Simple payback years (if net&gt;0 after impl amortised)</t>
        </is>
      </c>
      <c r="B11" s="11">
        <f>IF((B6-DERIVED!B12)&lt;=0,"n/a",INPUTS!D21)</f>
        <v/>
      </c>
      <c r="C11" s="11">
        <f>IF((C6-DERIVED!B12)&lt;=0,"n/a",INPUTS!D21)</f>
        <v/>
      </c>
      <c r="D11" s="11">
        <f>IF((D6-DERIVED!B12)&lt;=0,"n/a",INPUTS!D21)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 ht="36" customHeight="1">
      <c r="A1" s="1" t="inlineStr">
        <is>
          <t>One-way shocks on Base efficiency. Not a forecast.</t>
        </is>
      </c>
    </row>
    <row r="3">
      <c r="A3" s="2" t="inlineStr">
        <is>
          <t>Shock</t>
        </is>
      </c>
      <c r="B3" s="2" t="inlineStr">
        <is>
          <t>Base hours released</t>
        </is>
      </c>
    </row>
    <row r="4">
      <c r="A4" t="inlineStr">
        <is>
          <t>Volume -20%</t>
        </is>
      </c>
      <c r="B4">
        <f>CASES!C5*0.8</f>
        <v/>
      </c>
    </row>
    <row r="5">
      <c r="A5" t="inlineStr">
        <is>
          <t>Volume +20%</t>
        </is>
      </c>
      <c r="B5">
        <f>CASES!C5*1.2</f>
        <v/>
      </c>
    </row>
    <row r="6">
      <c r="A6" t="inlineStr">
        <is>
          <t>Efficiency = Conservative</t>
        </is>
      </c>
      <c r="B6">
        <f>CASES!B5</f>
        <v/>
      </c>
    </row>
    <row r="7">
      <c r="A7" t="inlineStr">
        <is>
          <t>Efficiency = Upside</t>
        </is>
      </c>
      <c r="B7">
        <f>CASES!D5</f>
        <v/>
      </c>
    </row>
    <row r="8">
      <c r="A8" t="inlineStr">
        <is>
          <t>Touch minutes +25%</t>
        </is>
      </c>
      <c r="B8">
        <f>CASES!C5*1.25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36" customHeight="1">
      <c r="A1" s="1" t="inlineStr">
        <is>
          <t>Cost per invoice — Narrow envelope uses people cost / volume. Do not subtract vendor Best-in-Class $2.78.</t>
        </is>
      </c>
    </row>
    <row r="3">
      <c r="A3" t="inlineStr">
        <is>
          <t>Narrow CPI</t>
        </is>
      </c>
      <c r="B3" s="15">
        <f>DERIVED!B11</f>
        <v/>
      </c>
    </row>
    <row r="4">
      <c r="A4" t="inlineStr">
        <is>
          <t>Exception labour / invoice</t>
        </is>
      </c>
      <c r="B4" s="15">
        <f>IF(INPUTS!D4=0,NA(),DERIVED!B8/INPUTS!D4)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60" customWidth="1" min="4" max="4"/>
  </cols>
  <sheetData>
    <row r="1" ht="36" customHeight="1">
      <c r="A1" s="1" t="inlineStr">
        <is>
          <t>Locked citations. Do not write formulas that consume these numbers as targets.</t>
        </is>
      </c>
    </row>
    <row r="3">
      <c r="A3" s="2" t="inlineStr">
        <is>
          <t>Claim</t>
        </is>
      </c>
      <c r="B3" s="2" t="inlineStr">
        <is>
          <t>Value</t>
        </is>
      </c>
      <c r="C3" s="2" t="inlineStr">
        <is>
          <t>Independence</t>
        </is>
      </c>
      <c r="D3" s="2" t="inlineStr">
        <is>
          <t>Source</t>
        </is>
      </c>
    </row>
    <row r="4">
      <c r="A4" s="16" t="inlineStr">
        <is>
          <t>Best-in-Class vs All Others cost / invoice (Ardent 2024 via Tipalti)</t>
        </is>
      </c>
      <c r="B4" s="16" t="inlineStr">
        <is>
          <t>$2.78 vs $12.88</t>
        </is>
      </c>
      <c r="C4" s="16" t="inlineStr">
        <is>
          <t>vendor-citing-independent</t>
        </is>
      </c>
      <c r="D4" s="16" t="inlineStr">
        <is>
          <t>Ardent State of ePayables 2024; hop: tipalti.com AI invoice processing</t>
        </is>
      </c>
    </row>
    <row r="5">
      <c r="A5" s="16" t="inlineStr">
        <is>
          <t>Best-in-Class vs All Others cycle time (Ardent 2024 via Tipalti)</t>
        </is>
      </c>
      <c r="B5" s="16" t="inlineStr">
        <is>
          <t>3.1 vs 17.4 days</t>
        </is>
      </c>
      <c r="C5" s="16" t="inlineStr">
        <is>
          <t>vendor-citing-independent</t>
        </is>
      </c>
      <c r="D5" s="16" t="inlineStr">
        <is>
          <t>Same hop. Class split, not your before/after.</t>
        </is>
      </c>
    </row>
    <row r="6">
      <c r="A6" s="16" t="inlineStr">
        <is>
          <t>Exception rates cited as 22% and 9% (Ardent 2025 via Tipalti)</t>
        </is>
      </c>
      <c r="B6" s="16" t="inlineStr">
        <is>
          <t>22% / 9%</t>
        </is>
      </c>
      <c r="C6" s="16" t="inlineStr">
        <is>
          <t>vendor-citing-independent</t>
        </is>
      </c>
      <c r="D6" s="16" t="inlineStr">
        <is>
          <t>AP Metrics that Matter 2025 hop. Not a measured automation delta for you.</t>
        </is>
      </c>
    </row>
    <row r="7">
      <c r="A7" s="16" t="inlineStr">
        <is>
          <t>CFOs using gen AI for &gt;5 use cases (McKinsey Nov 2025)</t>
        </is>
      </c>
      <c r="B7" s="16" t="inlineStr">
        <is>
          <t>44% of 102 (from 7%)</t>
        </is>
      </c>
      <c r="C7" s="16" t="inlineStr">
        <is>
          <t>independent</t>
        </is>
      </c>
      <c r="D7" s="16" t="inlineStr">
        <is>
          <t>How finance teams are putting AI to work today</t>
        </is>
      </c>
    </row>
    <row r="8">
      <c r="A8" s="16" t="inlineStr">
        <is>
          <t>Regular AI use ≥1 function (McKinsey State of AI 2025)</t>
        </is>
      </c>
      <c r="B8" s="16" t="inlineStr">
        <is>
          <t>88% (from 78%)</t>
        </is>
      </c>
      <c r="C8" s="16" t="inlineStr">
        <is>
          <t>independent</t>
        </is>
      </c>
      <c r="D8" s="16" t="inlineStr">
        <is>
          <t>Survey 25 Jun–29 Jul 2025, n=1,993</t>
        </is>
      </c>
    </row>
    <row r="9">
      <c r="A9" s="16" t="inlineStr">
        <is>
          <t>Not yet scaling AI across the enterprise</t>
        </is>
      </c>
      <c r="B9" s="16" t="inlineStr">
        <is>
          <t>nearly two-thirds</t>
        </is>
      </c>
      <c r="C9" s="16" t="inlineStr">
        <is>
          <t>independent</t>
        </is>
      </c>
      <c r="D9" s="16" t="inlineStr">
        <is>
          <t>Same</t>
        </is>
      </c>
    </row>
    <row r="10">
      <c r="A10" s="16" t="inlineStr">
        <is>
          <t>At least experimenting with AI agents</t>
        </is>
      </c>
      <c r="B10" s="16" t="inlineStr">
        <is>
          <t>62%</t>
        </is>
      </c>
      <c r="C10" s="16" t="inlineStr">
        <is>
          <t>independent</t>
        </is>
      </c>
      <c r="D10" s="16" t="inlineStr">
        <is>
          <t>Same</t>
        </is>
      </c>
    </row>
    <row r="11">
      <c r="A11" s="16" t="inlineStr">
        <is>
          <t>Scaling an agentic system somewhere</t>
        </is>
      </c>
      <c r="B11" s="16" t="inlineStr">
        <is>
          <t>23%</t>
        </is>
      </c>
      <c r="C11" s="16" t="inlineStr">
        <is>
          <t>independent</t>
        </is>
      </c>
      <c r="D11" s="16" t="inlineStr">
        <is>
          <t>Same</t>
        </is>
      </c>
    </row>
    <row r="12">
      <c r="A12" s="16" t="inlineStr">
        <is>
          <t>Any EBIT impact attributed to AI</t>
        </is>
      </c>
      <c r="B12" s="16" t="inlineStr">
        <is>
          <t>39%</t>
        </is>
      </c>
      <c r="C12" s="16" t="inlineStr">
        <is>
          <t>independent</t>
        </is>
      </c>
      <c r="D12" s="16" t="inlineStr">
        <is>
          <t>Same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24" customWidth="1" min="4" max="4"/>
  </cols>
  <sheetData>
    <row r="1" ht="36" customHeight="1">
      <c r="A1" s="1" t="inlineStr">
        <is>
          <t>Who attested each material input.</t>
        </is>
      </c>
    </row>
    <row r="3">
      <c r="A3" s="2" t="inlineStr">
        <is>
          <t>Input</t>
        </is>
      </c>
      <c r="B3" s="2" t="inlineStr">
        <is>
          <t>Source system / file</t>
        </is>
      </c>
      <c r="C3" s="2" t="inlineStr">
        <is>
          <t>Date</t>
        </is>
      </c>
      <c r="D3" s="2" t="inlineStr">
        <is>
          <t>Attested by</t>
        </is>
      </c>
    </row>
    <row r="4">
      <c r="A4" t="inlineStr">
        <is>
          <t>Volume</t>
        </is>
      </c>
    </row>
    <row r="5">
      <c r="A5" t="inlineStr">
        <is>
          <t>FTE</t>
        </is>
      </c>
    </row>
    <row r="6">
      <c r="A6" t="inlineStr">
        <is>
          <t>Loaded cost</t>
        </is>
      </c>
    </row>
    <row r="7">
      <c r="A7" t="inlineStr">
        <is>
          <t>Exception rate</t>
        </is>
      </c>
    </row>
    <row r="8">
      <c r="A8" t="inlineStr">
        <is>
          <t>Tool cost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