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S_CARD" sheetId="2" state="visible" r:id="rId2"/>
    <sheet xmlns:r="http://schemas.openxmlformats.org/officeDocument/2006/relationships" name="SCENARIOS_90D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$&quot;#,##0"/>
  </numFmts>
  <fonts count="2">
    <font>
      <name val="Calibri"/>
      <family val="2"/>
      <color theme="1"/>
      <sz val="11"/>
      <scheme val="minor"/>
    </font>
    <font>
      <name val="Calibri"/>
      <b val="1"/>
      <color rgb="00F3EEE4"/>
      <sz val="11"/>
    </font>
  </fonts>
  <fills count="3">
    <fill>
      <patternFill/>
    </fill>
    <fill>
      <patternFill patternType="gray125"/>
    </fill>
    <fill>
      <patternFill patternType="solid">
        <fgColor rgb="001216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Room — publisher financial model (not a customer ROI)</t>
        </is>
      </c>
    </row>
    <row r="2">
      <c r="A2" t="inlineStr">
        <is>
          <t>Illustrative. Not a forecast. Lemon Squeezy public card 20 Sep 2026: 5% + $0.50.</t>
        </is>
      </c>
    </row>
    <row r="3">
      <c r="A3" t="inlineStr">
        <is>
          <t>US card fee = 0.50 + 0.05 × list. Blended planning fee = 0.50 + 0.056 ×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List</t>
        </is>
      </c>
      <c r="C1" s="1" t="inlineStr">
        <is>
          <t>Fee</t>
        </is>
      </c>
      <c r="D1" s="1" t="inlineStr">
        <is>
          <t>Net</t>
        </is>
      </c>
      <c r="E1" s="1" t="inlineStr">
        <is>
          <t>Keep %</t>
        </is>
      </c>
    </row>
    <row r="2">
      <c r="A2" t="inlineStr">
        <is>
          <t>Starter</t>
        </is>
      </c>
      <c r="B2" s="2" t="n">
        <v>79</v>
      </c>
      <c r="C2" s="2">
        <f>0.5+0.05*B2</f>
        <v/>
      </c>
      <c r="D2" s="2">
        <f>B2-C2</f>
        <v/>
      </c>
      <c r="E2" s="3">
        <f>D2/B2</f>
        <v/>
      </c>
    </row>
    <row r="3">
      <c r="A3" t="inlineStr">
        <is>
          <t>Professional</t>
        </is>
      </c>
      <c r="B3" s="2" t="n">
        <v>199</v>
      </c>
      <c r="C3" s="2">
        <f>0.5+0.05*B3</f>
        <v/>
      </c>
      <c r="D3" s="2">
        <f>B3-C3</f>
        <v/>
      </c>
      <c r="E3" s="3">
        <f>D3/B3</f>
        <v/>
      </c>
    </row>
    <row r="4">
      <c r="A4" t="inlineStr">
        <is>
          <t>Team</t>
        </is>
      </c>
      <c r="B4" s="2" t="n">
        <v>499</v>
      </c>
      <c r="C4" s="2">
        <f>0.5+0.05*B4</f>
        <v/>
      </c>
      <c r="D4" s="2">
        <f>B4-C4</f>
        <v/>
      </c>
      <c r="E4" s="3">
        <f>D4/B4</f>
        <v/>
      </c>
    </row>
    <row r="5">
      <c r="A5" t="inlineStr">
        <is>
          <t>Blueprint mid</t>
        </is>
      </c>
      <c r="B5" s="2" t="n">
        <v>2250</v>
      </c>
      <c r="C5" s="2">
        <f>0.5+0.05*B5</f>
        <v/>
      </c>
      <c r="D5" s="2">
        <f>B5-C5</f>
        <v/>
      </c>
      <c r="E5" s="3">
        <f>D5/B5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Starter u</t>
        </is>
      </c>
      <c r="C1" s="1" t="inlineStr">
        <is>
          <t>Pro u</t>
        </is>
      </c>
      <c r="D1" s="1" t="inlineStr">
        <is>
          <t>Team u</t>
        </is>
      </c>
      <c r="E1" s="1" t="inlineStr">
        <is>
          <t>Blueprint u</t>
        </is>
      </c>
      <c r="F1" s="1" t="inlineStr">
        <is>
          <t>Gross</t>
        </is>
      </c>
      <c r="G1" s="1" t="inlineStr">
        <is>
          <t>Refund rate</t>
        </is>
      </c>
      <c r="H1" s="1" t="inlineStr">
        <is>
          <t>Net after refunds (blended)</t>
        </is>
      </c>
    </row>
    <row r="2">
      <c r="A2" t="inlineStr">
        <is>
          <t>Conservative</t>
        </is>
      </c>
      <c r="B2" t="n">
        <v>20</v>
      </c>
      <c r="C2" t="n">
        <v>25</v>
      </c>
      <c r="D2" t="n">
        <v>4</v>
      </c>
      <c r="E2" t="n">
        <v>1</v>
      </c>
      <c r="F2" s="4">
        <f>B2*79+C2*199+D2*499+E2*2250</f>
        <v/>
      </c>
      <c r="G2" s="5" t="n">
        <v>0.08</v>
      </c>
      <c r="H2" s="4">
        <f>B2*(74.08-G2*79)+C2*(187.36-G2*199)+D2*(470.56-G2*499)+E2*(2123.80-G2*2250)</f>
        <v/>
      </c>
    </row>
    <row r="3">
      <c r="A3" t="inlineStr">
        <is>
          <t>Base</t>
        </is>
      </c>
      <c r="B3" t="n">
        <v>40</v>
      </c>
      <c r="C3" t="n">
        <v>60</v>
      </c>
      <c r="D3" t="n">
        <v>10</v>
      </c>
      <c r="E3" t="n">
        <v>2</v>
      </c>
      <c r="F3" s="4">
        <f>B3*79+C3*199+D3*499+E3*2250</f>
        <v/>
      </c>
      <c r="G3" s="5" t="n">
        <v>0.05</v>
      </c>
      <c r="H3" s="4">
        <f>B3*(74.08-G3*79)+C3*(187.36-G3*199)+D3*(470.56-G3*499)+E3*(2123.80-G3*2250)</f>
        <v/>
      </c>
    </row>
    <row r="4">
      <c r="A4" t="inlineStr">
        <is>
          <t>Upside</t>
        </is>
      </c>
      <c r="B4" t="n">
        <v>80</v>
      </c>
      <c r="C4" t="n">
        <v>120</v>
      </c>
      <c r="D4" t="n">
        <v>20</v>
      </c>
      <c r="E4" t="n">
        <v>4</v>
      </c>
      <c r="F4" s="4">
        <f>B4*79+C4*199+D4*499+E4*2250</f>
        <v/>
      </c>
      <c r="G4" s="5" t="n">
        <v>0.03</v>
      </c>
      <c r="H4" s="4">
        <f>B4*(74.08-G4*79)+C4*(187.36-G4*199)+D4*(470.56-G4*499)+E4*(2123.80-G4*2250)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off. Abandoned-cart extra off. Default US-bank payout 0%. Non-US payout 1% not in SCENARIOS. Counsel and design costs dominate early and are not in these nets. Not tax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2026-09-20T16:41:37Z</dcterms:created>
  <dcterms:modified xmlns:dcterms="http://purl.org/dc/terms/" xmlns:xsi="http://www.w3.org/2001/XMLSchema-instance" xsi:type="dcterms:W3CDTF">2026-09-20T16:41:37Z</dcterms:modified>
</cp:coreProperties>
</file>