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Disclaim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8B6914"/>
      <sz val="10"/>
    </font>
    <font>
      <name val="Calibri"/>
      <b val="1"/>
      <color rgb="001A1C19"/>
      <sz val="18"/>
    </font>
    <font>
      <name val="Calibri"/>
      <i val="1"/>
      <color rgb="005C6158"/>
      <sz val="11"/>
    </font>
    <font>
      <name val="Calibri"/>
      <b val="1"/>
      <color rgb="00FFFCF7"/>
      <sz val="10"/>
    </font>
    <font>
      <name val="Consolas"/>
      <color rgb="001A1C19"/>
      <sz val="10"/>
    </font>
    <font>
      <name val="Calibri"/>
      <color rgb="001A1C19"/>
      <sz val="11"/>
    </font>
    <font>
      <name val="Calibri"/>
      <b val="1"/>
      <color rgb="001A1C19"/>
      <sz val="11"/>
    </font>
    <font>
      <name val="Calibri"/>
      <i val="1"/>
      <color rgb="005C6158"/>
      <sz val="9"/>
    </font>
  </fonts>
  <fills count="5">
    <fill>
      <patternFill/>
    </fill>
    <fill>
      <patternFill patternType="gray125"/>
    </fill>
    <fill>
      <patternFill patternType="solid">
        <fgColor rgb="00F6F3EC"/>
      </patternFill>
    </fill>
    <fill>
      <patternFill patternType="solid">
        <fgColor rgb="001A1C19"/>
      </patternFill>
    </fill>
    <fill>
      <patternFill patternType="solid">
        <fgColor rgb="00FFF3BF"/>
      </patternFill>
    </fill>
  </fills>
  <borders count="2">
    <border>
      <left/>
      <right/>
      <top/>
      <bottom/>
      <diagonal/>
    </border>
    <border>
      <left style="thin">
        <color rgb="00D4CFC3"/>
      </left>
      <right style="thin">
        <color rgb="00D4CFC3"/>
      </right>
      <top style="thin">
        <color rgb="00D4CFC3"/>
      </top>
      <bottom style="thin">
        <color rgb="00D4CFC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3" fontId="6" fillId="4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164" fontId="6" fillId="4" borderId="1" applyAlignment="1" pivotButton="0" quotePrefix="0" xfId="0">
      <alignment vertical="center" wrapText="1"/>
    </xf>
    <xf numFmtId="0" fontId="7" fillId="0" borderId="0" pivotButton="0" quotePrefix="0" xfId="0"/>
    <xf numFmtId="9" fontId="6" fillId="4" borderId="1" applyAlignment="1" pivotButton="0" quotePrefix="0" xfId="0">
      <alignment vertical="center" wrapText="1"/>
    </xf>
    <xf numFmtId="0" fontId="8" fillId="0" borderId="0" applyAlignment="1" pivotButton="0" quotePrefix="0" xfId="0">
      <alignment wrapText="1"/>
    </xf>
    <xf numFmtId="4" fontId="6" fillId="0" borderId="1" applyAlignment="1" pivotButton="0" quotePrefix="0" xfId="0">
      <alignment vertical="center" wrapText="1"/>
    </xf>
    <xf numFmtId="3" fontId="6" fillId="0" borderId="1" applyAlignment="1" pivotButton="0" quotePrefix="0" xfId="0">
      <alignment vertical="center" wrapText="1"/>
    </xf>
    <xf numFmtId="2" fontId="6" fillId="0" borderId="1" applyAlignment="1" pivotButton="0" quotePrefix="0" xfId="0">
      <alignment vertical="center" wrapText="1"/>
    </xf>
    <xf numFmtId="9" fontId="6" fillId="0" borderId="1" applyAlignment="1" pivotButton="0" quotePrefix="0" xfId="0">
      <alignment vertical="center" wrapText="1"/>
    </xf>
    <xf numFmtId="9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18" customWidth="1" min="3" max="3"/>
    <col width="36" customWidth="1" min="4" max="4"/>
    <col width="48" customWidth="1" min="5" max="5"/>
  </cols>
  <sheetData>
    <row r="1" ht="18" customHeight="1">
      <c r="A1" s="1" t="inlineStr">
        <is>
          <t>EVIDENCE ROOM  ·  AP AGENT OS</t>
        </is>
      </c>
    </row>
    <row r="2" ht="24" customHeight="1">
      <c r="A2" s="2" t="inlineStr">
        <is>
          <t>AP Agent business case — inputs</t>
        </is>
      </c>
    </row>
    <row r="3" ht="18" customHeight="1">
      <c r="A3" s="3" t="inlineStr">
        <is>
          <t>Yellow = [BUYER]. Scenarios apply efficiency ranges only. Not a guarantee.</t>
        </is>
      </c>
    </row>
    <row r="5" ht="28" customHeight="1">
      <c r="A5" s="4" t="inlineStr">
        <is>
          <t>ID</t>
        </is>
      </c>
      <c r="B5" s="4" t="inlineStr">
        <is>
          <t>Input</t>
        </is>
      </c>
      <c r="C5" s="4" t="inlineStr">
        <is>
          <t>Value</t>
        </is>
      </c>
      <c r="D5" s="4" t="inlineStr">
        <is>
          <t>Unit</t>
        </is>
      </c>
      <c r="E5" s="4" t="inlineStr">
        <is>
          <t>Notes</t>
        </is>
      </c>
    </row>
    <row r="6">
      <c r="A6" s="5" t="inlineStr">
        <is>
          <t>I-01</t>
        </is>
      </c>
      <c r="B6" s="5" t="inlineStr">
        <is>
          <t>Monthly invoice volume</t>
        </is>
      </c>
      <c r="C6" s="6" t="n">
        <v>8400</v>
      </c>
      <c r="D6" s="5" t="inlineStr">
        <is>
          <t>invoices</t>
        </is>
      </c>
      <c r="E6" s="5" t="inlineStr">
        <is>
          <t>ILLUSTRATIVE ACME default — overwrite</t>
        </is>
      </c>
    </row>
    <row r="7">
      <c r="A7" s="5" t="inlineStr">
        <is>
          <t>I-02</t>
        </is>
      </c>
      <c r="B7" s="5" t="inlineStr">
        <is>
          <t>AP operational headcount</t>
        </is>
      </c>
      <c r="C7" s="7" t="n">
        <v>14</v>
      </c>
      <c r="D7" s="5" t="inlineStr">
        <is>
          <t>FTE</t>
        </is>
      </c>
      <c r="E7" s="5" t="inlineStr">
        <is>
          <t>Processors, exception, query — not whole finance</t>
        </is>
      </c>
    </row>
    <row r="8">
      <c r="A8" s="5" t="inlineStr">
        <is>
          <t>I-03</t>
        </is>
      </c>
      <c r="B8" s="5" t="inlineStr">
        <is>
          <t>Fully loaded labour cost / FTE / year</t>
        </is>
      </c>
      <c r="C8" s="6" t="n">
        <v>85000</v>
      </c>
      <c r="D8" s="5" t="inlineStr">
        <is>
          <t>currency</t>
        </is>
      </c>
      <c r="E8" s="5" t="inlineStr">
        <is>
          <t>Overwrite with local loaded cost</t>
        </is>
      </c>
    </row>
    <row r="9">
      <c r="A9" s="5" t="inlineStr">
        <is>
          <t>I-04</t>
        </is>
      </c>
      <c r="B9" s="5" t="inlineStr">
        <is>
          <t>Manual-touch percentage</t>
        </is>
      </c>
      <c r="C9" s="8" t="n">
        <v>0.62</v>
      </c>
      <c r="D9" s="5" t="inlineStr">
        <is>
          <t>0–1</t>
        </is>
      </c>
      <c r="E9" s="5" t="inlineStr">
        <is>
          <t>Share with ≥1 human touch</t>
        </is>
      </c>
    </row>
    <row r="10">
      <c r="A10" s="5" t="inlineStr">
        <is>
          <t>I-05</t>
        </is>
      </c>
      <c r="B10" s="5" t="inlineStr">
        <is>
          <t>Exception rate</t>
        </is>
      </c>
      <c r="C10" s="8" t="n">
        <v>0.22</v>
      </c>
      <c r="D10" s="5" t="inlineStr">
        <is>
          <t>0–1</t>
        </is>
      </c>
      <c r="E10" s="5" t="inlineStr">
        <is>
          <t>Do not paste a blog rate without measuring</t>
        </is>
      </c>
    </row>
    <row r="11">
      <c r="A11" s="5" t="inlineStr">
        <is>
          <t>I-06</t>
        </is>
      </c>
      <c r="B11" s="5" t="inlineStr">
        <is>
          <t>Average resolution minutes</t>
        </is>
      </c>
      <c r="C11" s="7" t="n">
        <v>18</v>
      </c>
      <c r="D11" s="5" t="inlineStr">
        <is>
          <t>minutes</t>
        </is>
      </c>
      <c r="E11" s="5" t="inlineStr">
        <is>
          <t>Clocked, not hoped</t>
        </is>
      </c>
    </row>
    <row r="12">
      <c r="A12" s="5" t="inlineStr">
        <is>
          <t>I-07</t>
        </is>
      </c>
      <c r="B12" s="5" t="inlineStr">
        <is>
          <t>Known duplicate rate (detected)</t>
        </is>
      </c>
      <c r="C12" s="8" t="n">
        <v>0.004</v>
      </c>
      <c r="D12" s="5" t="inlineStr">
        <is>
          <t>0–1</t>
        </is>
      </c>
      <c r="E12" s="5" t="inlineStr">
        <is>
          <t>Detected, not 'fraud'</t>
        </is>
      </c>
    </row>
    <row r="13">
      <c r="A13" s="5" t="inlineStr">
        <is>
          <t>I-08</t>
        </is>
      </c>
      <c r="B13" s="5" t="inlineStr">
        <is>
          <t>Late-payment cost / year (known)</t>
        </is>
      </c>
      <c r="C13" s="7" t="n">
        <v>0</v>
      </c>
      <c r="D13" s="5" t="inlineStr">
        <is>
          <t>currency</t>
        </is>
      </c>
      <c r="E13" s="5" t="inlineStr">
        <is>
          <t>0 if unknown — do not invent</t>
        </is>
      </c>
    </row>
    <row r="14">
      <c r="A14" s="5" t="inlineStr">
        <is>
          <t>I-09</t>
        </is>
      </c>
      <c r="B14" s="5" t="inlineStr">
        <is>
          <t>Early-pay discount missed / year</t>
        </is>
      </c>
      <c r="C14" s="7" t="n">
        <v>0</v>
      </c>
      <c r="D14" s="5" t="inlineStr">
        <is>
          <t>currency</t>
        </is>
      </c>
      <c r="E14" s="5" t="inlineStr">
        <is>
          <t>0 if unknown</t>
        </is>
      </c>
    </row>
    <row r="15">
      <c r="A15" s="5" t="inlineStr">
        <is>
          <t>I-10</t>
        </is>
      </c>
      <c r="B15" s="5" t="inlineStr">
        <is>
          <t>Current processing cost / invoice (if known)</t>
        </is>
      </c>
      <c r="C15" s="7" t="n">
        <v>0</v>
      </c>
      <c r="D15" s="5" t="inlineStr">
        <is>
          <t>currency</t>
        </is>
      </c>
      <c r="E15" s="5" t="inlineStr">
        <is>
          <t>0 = model will derive labour proxy</t>
        </is>
      </c>
    </row>
    <row r="16">
      <c r="A16" s="5" t="inlineStr">
        <is>
          <t>I-11</t>
        </is>
      </c>
      <c r="B16" s="5" t="inlineStr">
        <is>
          <t>AI / tool cost / year</t>
        </is>
      </c>
      <c r="C16" s="6" t="n">
        <v>36000</v>
      </c>
      <c r="D16" s="5" t="inlineStr">
        <is>
          <t>currency</t>
        </is>
      </c>
      <c r="E16" s="5" t="inlineStr">
        <is>
          <t>Licences + inference envelope</t>
        </is>
      </c>
    </row>
    <row r="17">
      <c r="A17" s="5" t="inlineStr">
        <is>
          <t>I-12</t>
        </is>
      </c>
      <c r="B17" s="5" t="inlineStr">
        <is>
          <t>Implementation cost (one-off)</t>
        </is>
      </c>
      <c r="C17" s="6" t="n">
        <v>45000</v>
      </c>
      <c r="D17" s="5" t="inlineStr">
        <is>
          <t>currency</t>
        </is>
      </c>
      <c r="E17" s="5" t="inlineStr">
        <is>
          <t>Internal time + external if any</t>
        </is>
      </c>
    </row>
    <row r="18">
      <c r="A18" s="5" t="inlineStr">
        <is>
          <t>I-13</t>
        </is>
      </c>
      <c r="B18" s="5" t="inlineStr">
        <is>
          <t>Working months / year</t>
        </is>
      </c>
      <c r="C18" s="7" t="n">
        <v>12</v>
      </c>
      <c r="D18" s="5" t="inlineStr">
        <is>
          <t>months</t>
        </is>
      </c>
      <c r="E18" s="5" t="inlineStr">
        <is>
          <t>Usually 12</t>
        </is>
      </c>
    </row>
    <row r="20">
      <c r="A20" s="9" t="inlineStr">
        <is>
          <t>Scenario efficiency (share of current exception-touch hours that could be released — NOT a promise)</t>
        </is>
      </c>
    </row>
    <row r="21" ht="28" customHeight="1">
      <c r="A21" s="4" t="inlineStr">
        <is>
          <t>Scenario</t>
        </is>
      </c>
      <c r="B21" s="4" t="inlineStr">
        <is>
          <t>Efficiency range (of exception hours)</t>
        </is>
      </c>
      <c r="C21" s="4" t="inlineStr">
        <is>
          <t>Hours-release haircut (realisation)</t>
        </is>
      </c>
      <c r="D21" s="4" t="inlineStr">
        <is>
          <t>Cash conversion of released hours</t>
        </is>
      </c>
      <c r="E21" s="4" t="inlineStr">
        <is>
          <t>Use</t>
        </is>
      </c>
    </row>
    <row r="22">
      <c r="A22" s="5" t="inlineStr">
        <is>
          <t>Conservative</t>
        </is>
      </c>
      <c r="B22" s="10" t="n">
        <v>0.1</v>
      </c>
      <c r="C22" s="10" t="n">
        <v>0.5</v>
      </c>
      <c r="D22" s="10" t="n">
        <v>0</v>
      </c>
      <c r="E22" s="5" t="inlineStr">
        <is>
          <t>Capacity only; no cash until Controller signs</t>
        </is>
      </c>
    </row>
    <row r="23">
      <c r="A23" s="5" t="inlineStr">
        <is>
          <t>Base</t>
        </is>
      </c>
      <c r="B23" s="10" t="n">
        <v>0.22</v>
      </c>
      <c r="C23" s="10" t="n">
        <v>0.65</v>
      </c>
      <c r="D23" s="10" t="n">
        <v>0.25</v>
      </c>
      <c r="E23" s="5" t="inlineStr">
        <is>
          <t>Partial backfill avoided</t>
        </is>
      </c>
    </row>
    <row r="24">
      <c r="A24" s="5" t="inlineStr">
        <is>
          <t>Upside</t>
        </is>
      </c>
      <c r="B24" s="10" t="n">
        <v>0.35</v>
      </c>
      <c r="C24" s="10" t="n">
        <v>0.75</v>
      </c>
      <c r="D24" s="10" t="n">
        <v>0.4</v>
      </c>
      <c r="E24" s="5" t="inlineStr">
        <is>
          <t>Still not a guarantee</t>
        </is>
      </c>
    </row>
    <row r="26" ht="36" customHeight="1">
      <c r="A26" s="11" t="inlineStr">
        <is>
          <t>Hackett 19 Nov 2025 software-adopter figures (60% touchless, 3.5× productivity at ≥30% touchless) are NOT inputs. Deloitte 8 Oct 2025: 63% AI deployed / 21% measurable ROI — treat ROI as something you must evidence, not copy.</t>
        </is>
      </c>
    </row>
  </sheetData>
  <mergeCells count="4">
    <mergeCell ref="A2:E2"/>
    <mergeCell ref="A26:H26"/>
    <mergeCell ref="A1:E1"/>
    <mergeCell ref="A3:E3"/>
  </mergeCells>
  <pageMargins left="0.75" right="0.75" top="1" bottom="1" header="0.5" footer="0.5"/>
  <pageSetup orientation="landscape" paperSize="9" fitToWidth="1"/>
  <headerFooter>
    <oddHeader>&amp;LEvidence Room</oddHeader>
    <oddFooter>&amp;LProof before permission.  ·  Not a savings guarantee.&amp;RILLUSTRATIVE cells are labelled. Buyer cells are [BUYER].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6" customWidth="1" min="3" max="3"/>
    <col width="16" customWidth="1" min="4" max="4"/>
    <col width="12" customWidth="1" min="5" max="5"/>
    <col width="52" customWidth="1" min="6" max="6"/>
  </cols>
  <sheetData>
    <row r="1" ht="18" customHeight="1">
      <c r="A1" s="1" t="inlineStr">
        <is>
          <t>EVIDENCE ROOM  ·  AP AGENT OS</t>
        </is>
      </c>
    </row>
    <row r="2" ht="24" customHeight="1">
      <c r="A2" s="2" t="inlineStr">
        <is>
          <t>Model</t>
        </is>
      </c>
    </row>
    <row r="3" ht="18" customHeight="1">
      <c r="A3" s="3" t="inlineStr">
        <is>
          <t>Labour-proxy economics. Validated savings require a Controller signature — see Benefits tracker.</t>
        </is>
      </c>
    </row>
    <row r="5">
      <c r="A5" s="5" t="inlineStr">
        <is>
          <t>Annual invoices</t>
        </is>
      </c>
      <c r="B5" s="12">
        <f>Inputs!C6*Inputs!C18</f>
        <v/>
      </c>
    </row>
    <row r="6">
      <c r="A6" s="5" t="inlineStr">
        <is>
          <t>Annual labour cost (AP ops)</t>
        </is>
      </c>
      <c r="B6" s="12">
        <f>Inputs!C7*Inputs!C8</f>
        <v/>
      </c>
    </row>
    <row r="7">
      <c r="A7" s="5" t="inlineStr">
        <is>
          <t>Derived labour $ / invoice</t>
        </is>
      </c>
      <c r="B7" s="12">
        <f>IF(B5=0,0,B6/B5)</f>
        <v/>
      </c>
    </row>
    <row r="8">
      <c r="A8" s="5" t="inlineStr">
        <is>
          <t>Exception invoices / year</t>
        </is>
      </c>
      <c r="B8" s="12">
        <f>B5*Inputs!C10</f>
        <v/>
      </c>
    </row>
    <row r="9">
      <c r="A9" s="5" t="inlineStr">
        <is>
          <t>Exception hours / year</t>
        </is>
      </c>
      <c r="B9" s="12">
        <f>B8*Inputs!C11/60</f>
        <v/>
      </c>
    </row>
    <row r="10">
      <c r="A10" s="5" t="inlineStr">
        <is>
          <t>Exception labour $ / year</t>
        </is>
      </c>
      <c r="B10" s="12">
        <f>IF(Inputs!C7=0,0,B9*(Inputs!C8/1800))</f>
        <v/>
      </c>
    </row>
    <row r="11">
      <c r="A11" s="5" t="inlineStr">
        <is>
          <t>Processing $ / invoice used</t>
        </is>
      </c>
      <c r="B11" s="12">
        <f>IF(Inputs!C15&gt;0,Inputs!C15,B7)</f>
        <v/>
      </c>
    </row>
    <row r="12">
      <c r="A12" s="5" t="inlineStr">
        <is>
          <t>Baseline processing $ / year</t>
        </is>
      </c>
      <c r="B12" s="12">
        <f>B11*B5</f>
        <v/>
      </c>
    </row>
    <row r="13">
      <c r="A13" s="5" t="inlineStr">
        <is>
          <t>Late + missed discount (known only)</t>
        </is>
      </c>
      <c r="B13" s="12">
        <f>Inputs!C13+Inputs!C14</f>
        <v/>
      </c>
    </row>
    <row r="14">
      <c r="A14" s="5" t="inlineStr">
        <is>
          <t>Baseline total $ (labour proxy + known cash)</t>
        </is>
      </c>
      <c r="B14" s="12">
        <f>B6+B13</f>
        <v/>
      </c>
    </row>
    <row r="15">
      <c r="A15" s="5" t="inlineStr">
        <is>
          <t>AI + tool $ / year</t>
        </is>
      </c>
      <c r="B15" s="12">
        <f>Inputs!C16</f>
        <v/>
      </c>
    </row>
    <row r="16">
      <c r="A16" s="5" t="inlineStr">
        <is>
          <t>Implementation $ (one-off)</t>
        </is>
      </c>
      <c r="B16" s="12">
        <f>Inputs!C17</f>
        <v/>
      </c>
    </row>
    <row r="18" ht="28" customHeight="1">
      <c r="A18" s="4" t="inlineStr">
        <is>
          <t>Output</t>
        </is>
      </c>
      <c r="B18" s="4" t="inlineStr">
        <is>
          <t>Conservative</t>
        </is>
      </c>
      <c r="C18" s="4" t="inlineStr">
        <is>
          <t>Base</t>
        </is>
      </c>
      <c r="D18" s="4" t="inlineStr">
        <is>
          <t>Upside</t>
        </is>
      </c>
      <c r="E18" s="4" t="inlineStr">
        <is>
          <t>Unit</t>
        </is>
      </c>
      <c r="F18" s="4" t="inlineStr">
        <is>
          <t>Definition</t>
        </is>
      </c>
    </row>
    <row r="19">
      <c r="A19" s="5" t="inlineStr">
        <is>
          <t>Hours released (after haircut)</t>
        </is>
      </c>
      <c r="B19" s="13">
        <f>Model!B9*Inputs!B22*Inputs!C22</f>
        <v/>
      </c>
      <c r="C19" s="13">
        <f>Model!B9*Inputs!B23*Inputs!C23</f>
        <v/>
      </c>
      <c r="D19" s="13">
        <f>Model!B9*Inputs!B24*Inputs!C24</f>
        <v/>
      </c>
      <c r="E19" s="5" t="inlineStr">
        <is>
          <t>hours</t>
        </is>
      </c>
      <c r="F19" s="5" t="inlineStr">
        <is>
          <t>Exception hours × efficiency × realisation haircut</t>
        </is>
      </c>
    </row>
    <row r="20">
      <c r="A20" s="5" t="inlineStr">
        <is>
          <t>Capacity $ (not cash)</t>
        </is>
      </c>
      <c r="B20" s="13">
        <f>B19*(Inputs!C8/1800)</f>
        <v/>
      </c>
      <c r="C20" s="13">
        <f>C19*(Inputs!C8/1800)</f>
        <v/>
      </c>
      <c r="D20" s="13">
        <f>D19*(Inputs!C8/1800)</f>
        <v/>
      </c>
      <c r="E20" s="5" t="inlineStr">
        <is>
          <t>currency</t>
        </is>
      </c>
      <c r="F20" s="5" t="inlineStr">
        <is>
          <t>Hours × loaded hourly (1800 h/FTE)</t>
        </is>
      </c>
    </row>
    <row r="21">
      <c r="A21" s="5" t="inlineStr">
        <is>
          <t>Cash from released hours (conversion %)</t>
        </is>
      </c>
      <c r="B21" s="13">
        <f>B20*Inputs!D22</f>
        <v/>
      </c>
      <c r="C21" s="13">
        <f>C20*Inputs!D23</f>
        <v/>
      </c>
      <c r="D21" s="13">
        <f>D20*Inputs!D24</f>
        <v/>
      </c>
      <c r="E21" s="5" t="inlineStr">
        <is>
          <t>currency</t>
        </is>
      </c>
      <c r="F21" s="5" t="inlineStr">
        <is>
          <t>Only the converted slice is treated as cash-like</t>
        </is>
      </c>
    </row>
    <row r="22">
      <c r="A22" s="5" t="inlineStr">
        <is>
          <t>Known cash levers used</t>
        </is>
      </c>
      <c r="B22" s="13">
        <f>Model!B13*0.15</f>
        <v/>
      </c>
      <c r="C22" s="13">
        <f>Model!B13*0.30</f>
        <v/>
      </c>
      <c r="D22" s="13">
        <f>Model!B13*0.45</f>
        <v/>
      </c>
      <c r="E22" s="5" t="inlineStr">
        <is>
          <t>currency</t>
        </is>
      </c>
      <c r="F22" s="5" t="inlineStr">
        <is>
          <t>Applied only if I-08/I-09 &gt; 0. If zero, stays zero.</t>
        </is>
      </c>
    </row>
    <row r="23">
      <c r="A23" s="5" t="inlineStr">
        <is>
          <t>Gross annual benefit (cash-like)</t>
        </is>
      </c>
      <c r="B23" s="13">
        <f>B21+B22</f>
        <v/>
      </c>
      <c r="C23" s="13">
        <f>C21+C22</f>
        <v/>
      </c>
      <c r="D23" s="13">
        <f>D21+D22</f>
        <v/>
      </c>
      <c r="E23" s="5" t="inlineStr">
        <is>
          <t>currency</t>
        </is>
      </c>
      <c r="F23" s="5" t="inlineStr">
        <is>
          <t>Converted hours + known cash levers</t>
        </is>
      </c>
    </row>
    <row r="24">
      <c r="A24" s="5" t="inlineStr">
        <is>
          <t>Net annual (after AI run-cost)</t>
        </is>
      </c>
      <c r="B24" s="13">
        <f>B23-Model!B15</f>
        <v/>
      </c>
      <c r="C24" s="13">
        <f>C23-Model!B15</f>
        <v/>
      </c>
      <c r="D24" s="13">
        <f>D23-Model!B15</f>
        <v/>
      </c>
      <c r="E24" s="5" t="inlineStr">
        <is>
          <t>currency</t>
        </is>
      </c>
      <c r="F24" s="5" t="inlineStr">
        <is>
          <t>Does not amortise implementation</t>
        </is>
      </c>
    </row>
    <row r="25">
      <c r="A25" s="5" t="inlineStr">
        <is>
          <t>Payback years (impl / net)</t>
        </is>
      </c>
      <c r="B25" s="14">
        <f>IF(B24&lt;=0,"No payback",Model!B16/B24)</f>
        <v/>
      </c>
      <c r="C25" s="14">
        <f>IF(C24&lt;=0,"No payback",Model!B16/C24)</f>
        <v/>
      </c>
      <c r="D25" s="14">
        <f>IF(D24&lt;=0,"No payback",Model!B16/D24)</f>
        <v/>
      </c>
      <c r="E25" s="5" t="inlineStr">
        <is>
          <t>years</t>
        </is>
      </c>
      <c r="F25" s="5" t="inlineStr">
        <is>
          <t>One-off / net annual. Blank if net ≤ 0</t>
        </is>
      </c>
    </row>
    <row r="26">
      <c r="A26" s="5" t="inlineStr">
        <is>
          <t>ROI year-1 (net - impl) / impl</t>
        </is>
      </c>
      <c r="B26" s="15">
        <f>IF(Model!B16=0,"n/a",(B24-Model!B16)/Model!B16)</f>
        <v/>
      </c>
      <c r="C26" s="15">
        <f>IF(Model!B16=0,"n/a",(C24-Model!B16)/Model!B16)</f>
        <v/>
      </c>
      <c r="D26" s="15">
        <f>IF(Model!B16=0,"n/a",(D24-Model!B16)/Model!B16)</f>
        <v/>
      </c>
      <c r="E26" s="5" t="inlineStr">
        <is>
          <t>ratio</t>
        </is>
      </c>
      <c r="F26" s="5" t="inlineStr">
        <is>
          <t>Negative is allowed and informative</t>
        </is>
      </c>
    </row>
    <row r="28" ht="36" customHeight="1">
      <c r="A28" s="11" t="inlineStr">
        <is>
          <t>If Conservative net is negative, that is a finding — not a reason to invent a larger efficiency. Do not present Upside as the board case.</t>
        </is>
      </c>
    </row>
  </sheetData>
  <mergeCells count="4">
    <mergeCell ref="A3:F3"/>
    <mergeCell ref="A2:F2"/>
    <mergeCell ref="A1:F1"/>
    <mergeCell ref="A28:H28"/>
  </mergeCells>
  <pageMargins left="0.75" right="0.75" top="1" bottom="1" header="0.5" footer="0.5"/>
  <pageSetup orientation="landscape" paperSize="9" fitToWidth="1"/>
  <headerFooter>
    <oddHeader>&amp;LEvidence Room</oddHeader>
    <oddFooter>&amp;LProof before permission.  ·  Not a savings guarantee.&amp;RILLUSTRATIVE cells are labelled. Buyer cells are [BUYER].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8" customWidth="1" min="7" max="7"/>
  </cols>
  <sheetData>
    <row r="1" ht="18" customHeight="1">
      <c r="A1" s="1" t="inlineStr">
        <is>
          <t>EVIDENCE ROOM  ·  AP AGENT OS</t>
        </is>
      </c>
    </row>
    <row r="2" ht="24" customHeight="1">
      <c r="A2" s="2" t="inlineStr">
        <is>
          <t>Sensitivity</t>
        </is>
      </c>
    </row>
    <row r="3" ht="18" customHeight="1">
      <c r="A3" s="3" t="inlineStr">
        <is>
          <t>Exception rate vs efficiency (Base realisation and conversion). Illustrative grid.</t>
        </is>
      </c>
    </row>
    <row r="5" ht="28" customHeight="1">
      <c r="A5" s="4" t="inlineStr">
        <is>
          <t>Exception rate →</t>
        </is>
      </c>
      <c r="B5" s="16" t="n">
        <v>0.1</v>
      </c>
      <c r="C5" s="16" t="n">
        <v>0.16</v>
      </c>
      <c r="D5" s="16" t="n">
        <v>0.22</v>
      </c>
      <c r="E5" s="16" t="n">
        <v>0.28</v>
      </c>
      <c r="F5" s="16" t="n">
        <v>0.34</v>
      </c>
      <c r="G5" s="4" t="inlineStr">
        <is>
          <t>Note</t>
        </is>
      </c>
    </row>
    <row r="6">
      <c r="A6" t="inlineStr">
        <is>
          <t>Efficiency ↓  /  Net annual $</t>
        </is>
      </c>
    </row>
    <row r="7">
      <c r="A7" s="15" t="n">
        <v>0.1</v>
      </c>
      <c r="B7" s="13">
        <f>Inputs!$C$6*Inputs!$C$18*B$5*Inputs!$C$11/60*$A7*Inputs!$C$23*(Inputs!$C$8/1800)*Inputs!$D$23-Inputs!$C$16</f>
        <v/>
      </c>
      <c r="C7" s="13">
        <f>Inputs!$C$6*Inputs!$C$18*C$5*Inputs!$C$11/60*$A7*Inputs!$C$23*(Inputs!$C$8/1800)*Inputs!$D$23-Inputs!$C$16</f>
        <v/>
      </c>
      <c r="D7" s="13">
        <f>Inputs!$C$6*Inputs!$C$18*D$5*Inputs!$C$11/60*$A7*Inputs!$C$23*(Inputs!$C$8/1800)*Inputs!$D$23-Inputs!$C$16</f>
        <v/>
      </c>
      <c r="E7" s="13">
        <f>Inputs!$C$6*Inputs!$C$18*E$5*Inputs!$C$11/60*$A7*Inputs!$C$23*(Inputs!$C$8/1800)*Inputs!$D$23-Inputs!$C$16</f>
        <v/>
      </c>
      <c r="F7" s="13">
        <f>Inputs!$C$6*Inputs!$C$18*F$5*Inputs!$C$11/60*$A7*Inputs!$C$23*(Inputs!$C$8/1800)*Inputs!$D$23-Inputs!$C$16</f>
        <v/>
      </c>
    </row>
    <row r="8">
      <c r="A8" s="15" t="n">
        <v>0.16</v>
      </c>
      <c r="B8" s="13">
        <f>Inputs!$C$6*Inputs!$C$18*B$5*Inputs!$C$11/60*$A8*Inputs!$C$23*(Inputs!$C$8/1800)*Inputs!$D$23-Inputs!$C$16</f>
        <v/>
      </c>
      <c r="C8" s="13">
        <f>Inputs!$C$6*Inputs!$C$18*C$5*Inputs!$C$11/60*$A8*Inputs!$C$23*(Inputs!$C$8/1800)*Inputs!$D$23-Inputs!$C$16</f>
        <v/>
      </c>
      <c r="D8" s="13">
        <f>Inputs!$C$6*Inputs!$C$18*D$5*Inputs!$C$11/60*$A8*Inputs!$C$23*(Inputs!$C$8/1800)*Inputs!$D$23-Inputs!$C$16</f>
        <v/>
      </c>
      <c r="E8" s="13">
        <f>Inputs!$C$6*Inputs!$C$18*E$5*Inputs!$C$11/60*$A8*Inputs!$C$23*(Inputs!$C$8/1800)*Inputs!$D$23-Inputs!$C$16</f>
        <v/>
      </c>
      <c r="F8" s="13">
        <f>Inputs!$C$6*Inputs!$C$18*F$5*Inputs!$C$11/60*$A8*Inputs!$C$23*(Inputs!$C$8/1800)*Inputs!$D$23-Inputs!$C$16</f>
        <v/>
      </c>
    </row>
    <row r="9">
      <c r="A9" s="15" t="n">
        <v>0.22</v>
      </c>
      <c r="B9" s="13">
        <f>Inputs!$C$6*Inputs!$C$18*B$5*Inputs!$C$11/60*$A9*Inputs!$C$23*(Inputs!$C$8/1800)*Inputs!$D$23-Inputs!$C$16</f>
        <v/>
      </c>
      <c r="C9" s="13">
        <f>Inputs!$C$6*Inputs!$C$18*C$5*Inputs!$C$11/60*$A9*Inputs!$C$23*(Inputs!$C$8/1800)*Inputs!$D$23-Inputs!$C$16</f>
        <v/>
      </c>
      <c r="D9" s="13">
        <f>Inputs!$C$6*Inputs!$C$18*D$5*Inputs!$C$11/60*$A9*Inputs!$C$23*(Inputs!$C$8/1800)*Inputs!$D$23-Inputs!$C$16</f>
        <v/>
      </c>
      <c r="E9" s="13">
        <f>Inputs!$C$6*Inputs!$C$18*E$5*Inputs!$C$11/60*$A9*Inputs!$C$23*(Inputs!$C$8/1800)*Inputs!$D$23-Inputs!$C$16</f>
        <v/>
      </c>
      <c r="F9" s="13">
        <f>Inputs!$C$6*Inputs!$C$18*F$5*Inputs!$C$11/60*$A9*Inputs!$C$23*(Inputs!$C$8/1800)*Inputs!$D$23-Inputs!$C$16</f>
        <v/>
      </c>
    </row>
    <row r="10">
      <c r="A10" s="15" t="n">
        <v>0.28</v>
      </c>
      <c r="B10" s="13">
        <f>Inputs!$C$6*Inputs!$C$18*B$5*Inputs!$C$11/60*$A10*Inputs!$C$23*(Inputs!$C$8/1800)*Inputs!$D$23-Inputs!$C$16</f>
        <v/>
      </c>
      <c r="C10" s="13">
        <f>Inputs!$C$6*Inputs!$C$18*C$5*Inputs!$C$11/60*$A10*Inputs!$C$23*(Inputs!$C$8/1800)*Inputs!$D$23-Inputs!$C$16</f>
        <v/>
      </c>
      <c r="D10" s="13">
        <f>Inputs!$C$6*Inputs!$C$18*D$5*Inputs!$C$11/60*$A10*Inputs!$C$23*(Inputs!$C$8/1800)*Inputs!$D$23-Inputs!$C$16</f>
        <v/>
      </c>
      <c r="E10" s="13">
        <f>Inputs!$C$6*Inputs!$C$18*E$5*Inputs!$C$11/60*$A10*Inputs!$C$23*(Inputs!$C$8/1800)*Inputs!$D$23-Inputs!$C$16</f>
        <v/>
      </c>
      <c r="F10" s="13">
        <f>Inputs!$C$6*Inputs!$C$18*F$5*Inputs!$C$11/60*$A10*Inputs!$C$23*(Inputs!$C$8/1800)*Inputs!$D$23-Inputs!$C$16</f>
        <v/>
      </c>
    </row>
    <row r="11">
      <c r="A11" s="15" t="n">
        <v>0.35</v>
      </c>
      <c r="B11" s="13">
        <f>Inputs!$C$6*Inputs!$C$18*B$5*Inputs!$C$11/60*$A11*Inputs!$C$23*(Inputs!$C$8/1800)*Inputs!$D$23-Inputs!$C$16</f>
        <v/>
      </c>
      <c r="C11" s="13">
        <f>Inputs!$C$6*Inputs!$C$18*C$5*Inputs!$C$11/60*$A11*Inputs!$C$23*(Inputs!$C$8/1800)*Inputs!$D$23-Inputs!$C$16</f>
        <v/>
      </c>
      <c r="D11" s="13">
        <f>Inputs!$C$6*Inputs!$C$18*D$5*Inputs!$C$11/60*$A11*Inputs!$C$23*(Inputs!$C$8/1800)*Inputs!$D$23-Inputs!$C$16</f>
        <v/>
      </c>
      <c r="E11" s="13">
        <f>Inputs!$C$6*Inputs!$C$18*E$5*Inputs!$C$11/60*$A11*Inputs!$C$23*(Inputs!$C$8/1800)*Inputs!$D$23-Inputs!$C$16</f>
        <v/>
      </c>
      <c r="F11" s="13">
        <f>Inputs!$C$6*Inputs!$C$18*F$5*Inputs!$C$11/60*$A11*Inputs!$C$23*(Inputs!$C$8/1800)*Inputs!$D$23-Inputs!$C$16</f>
        <v/>
      </c>
    </row>
    <row r="13" ht="36" customHeight="1">
      <c r="A13" s="11" t="inlineStr">
        <is>
          <t>Grid uses Base haircut and Base cash conversion. It is a thinking tool, not a forecast.</t>
        </is>
      </c>
    </row>
  </sheetData>
  <mergeCells count="4">
    <mergeCell ref="A3:H3"/>
    <mergeCell ref="A2:H2"/>
    <mergeCell ref="A13:H13"/>
    <mergeCell ref="A1:H1"/>
  </mergeCells>
  <pageMargins left="0.75" right="0.75" top="1" bottom="1" header="0.5" footer="0.5"/>
  <pageSetup orientation="landscape" paperSize="9" fitToWidth="1"/>
  <headerFooter>
    <oddHeader>&amp;LEvidence Room</oddHeader>
    <oddFooter>&amp;LProof before permission.  ·  Not a savings guarantee.&amp;RILLUSTRATIVE cells are labelled. Buyer cells are [BUYER].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</cols>
  <sheetData>
    <row r="1" ht="18" customHeight="1">
      <c r="A1" s="1" t="inlineStr">
        <is>
          <t>EVIDENCE ROOM  ·  AP AGENT OS</t>
        </is>
      </c>
    </row>
    <row r="2" ht="24" customHeight="1">
      <c r="A2" s="2" t="inlineStr">
        <is>
          <t>Disclaimers</t>
        </is>
      </c>
    </row>
    <row r="3" ht="18" customHeight="1">
      <c r="A3" s="3" t="inlineStr">
        <is>
          <t>This workbook does not certify savings, ROI, fraud prevention, or compliance.</t>
        </is>
      </c>
    </row>
    <row r="5">
      <c r="A5" t="inlineStr">
        <is>
          <t>Evidence Room provides a model. The buyer provides the facts.</t>
        </is>
      </c>
    </row>
    <row r="6">
      <c r="A6" t="inlineStr">
        <is>
          <t>Released hours are not cash until a Controller decides not to backfill or to reduce overtime / contractor.</t>
        </is>
      </c>
    </row>
    <row r="7">
      <c r="A7" t="inlineStr">
        <is>
          <t>Agent 10 findings are not a fraud opinion.</t>
        </is>
      </c>
    </row>
    <row r="8">
      <c r="A8" t="inlineStr">
        <is>
          <t>Do not cite Hackett or Deloitte numbers as your results.</t>
        </is>
      </c>
    </row>
    <row r="9">
      <c r="A9" t="inlineStr">
        <is>
          <t>Counsel and tax advisers are not replaced by this file.</t>
        </is>
      </c>
    </row>
  </sheetData>
  <mergeCells count="8">
    <mergeCell ref="A1:D1"/>
    <mergeCell ref="A5:D5"/>
    <mergeCell ref="A9:D9"/>
    <mergeCell ref="A8:D8"/>
    <mergeCell ref="A6:D6"/>
    <mergeCell ref="A3:D3"/>
    <mergeCell ref="A7:D7"/>
    <mergeCell ref="A2:D2"/>
  </mergeCells>
  <pageMargins left="0.75" right="0.75" top="1" bottom="1" header="0.5" footer="0.5"/>
  <pageSetup orientation="landscape" paperSize="9" fitToWidth="1"/>
  <headerFooter>
    <oddHeader>&amp;LEvidence Room</oddHeader>
    <oddFooter>&amp;LProof before permission.  ·  Not a savings guarantee.&amp;RILLUSTRATIVE cells are labelled. Buyer cells are [BUYER].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2026-09-20T16:15:43Z</dcterms:created>
  <dcterms:modified xmlns:dcterms="http://purl.org/dc/terms/" xmlns:xsi="http://www.w3.org/2001/XMLSchema-instance" xsi:type="dcterms:W3CDTF">2026-09-20T16:15:43Z</dcterms:modified>
</cp:coreProperties>
</file>