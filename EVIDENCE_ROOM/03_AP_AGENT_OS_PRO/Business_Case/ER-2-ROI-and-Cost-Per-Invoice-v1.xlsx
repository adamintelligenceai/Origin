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Benchmark_ref" sheetId="3" state="visible" r:id="rId3"/>
    <sheet xmlns:r="http://schemas.openxmlformats.org/officeDocument/2006/relationships" name="Disclaim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7A1F2B"/>
      <sz val="11"/>
    </font>
    <font>
      <name val="Calibri"/>
      <b val="1"/>
      <color rgb="0014110E"/>
      <sz val="16"/>
    </font>
    <font>
      <name val="Calibri"/>
      <i val="1"/>
      <color rgb="005C5852"/>
      <sz val="9"/>
    </font>
    <font>
      <name val="Calibri"/>
      <b val="1"/>
      <color rgb="00FFFCF6"/>
      <sz val="10"/>
    </font>
    <font>
      <name val="Calibri"/>
      <sz val="10"/>
    </font>
    <font>
      <name val="Calibri"/>
      <color rgb="005C5852"/>
      <sz val="9"/>
    </font>
  </fonts>
  <fills count="5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F7E3A1"/>
      </patternFill>
    </fill>
    <fill>
      <patternFill patternType="solid">
        <fgColor rgb="0014110E"/>
      </patternFill>
    </fill>
  </fills>
  <borders count="2">
    <border>
      <left/>
      <right/>
      <top/>
      <bottom/>
      <diagonal/>
    </border>
    <border>
      <left style="thin">
        <color rgb="00C8BDAA"/>
      </left>
      <right style="thin">
        <color rgb="00C8BDAA"/>
      </right>
      <top style="thin">
        <color rgb="00C8BDAA"/>
      </top>
      <bottom style="thin">
        <color rgb="00C8BD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3" fontId="5" fillId="3" borderId="1" pivotButton="0" quotePrefix="0" xfId="0"/>
    <xf numFmtId="164" fontId="5" fillId="3" borderId="1" pivotButton="0" quotePrefix="0" xfId="0"/>
    <xf numFmtId="4" fontId="5" fillId="0" borderId="1" pivotButton="0" quotePrefix="0" xfId="0"/>
    <xf numFmtId="0" fontId="6" fillId="0" borderId="1" pivotButton="0" quotePrefix="0" xfId="0"/>
    <xf numFmtId="165" fontId="5" fillId="0" borderId="1" pivotButton="0" quotePrefix="0" xfId="0"/>
    <xf numFmtId="9" fontId="5" fillId="0" borderId="1" pivotButton="0" quotePrefix="0" xfId="0"/>
    <xf numFmtId="166" fontId="5" fillId="0" borderId="1" pivotButton="0" quotePrefix="0" xfId="0"/>
    <xf numFmtId="0" fontId="4" fillId="4" borderId="1" applyAlignment="1" pivotButton="0" quotePrefix="0" xfId="0">
      <alignment vertical="center" wrapText="1"/>
    </xf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62" customWidth="1" min="4" max="4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AP Agent business case — inputs</t>
        </is>
      </c>
    </row>
    <row r="3">
      <c r="A3" s="3" t="inlineStr">
        <is>
          <t>Change the yellow cells. Scenarios are ranges, not promises. External benchmarks are reference only.</t>
        </is>
      </c>
    </row>
    <row r="5">
      <c r="A5" s="4" t="inlineStr">
        <is>
          <t>Driver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5" t="inlineStr">
        <is>
          <t>Monthly invoice volume</t>
        </is>
      </c>
      <c r="B6" s="6" t="n">
        <v>15000</v>
      </c>
      <c r="C6" s="5" t="inlineStr">
        <is>
          <t>invoices</t>
        </is>
      </c>
      <c r="D6" s="5" t="inlineStr">
        <is>
          <t>All entities in scope</t>
        </is>
      </c>
    </row>
    <row r="7">
      <c r="A7" s="5" t="inlineStr">
        <is>
          <t>AP FTE</t>
        </is>
      </c>
      <c r="B7" s="6" t="n">
        <v>18</v>
      </c>
      <c r="C7" s="5" t="inlineStr">
        <is>
          <t>FTE</t>
        </is>
      </c>
      <c r="D7" s="5" t="inlineStr">
        <is>
          <t>Shared services + in-country touching AP</t>
        </is>
      </c>
    </row>
    <row r="8">
      <c r="A8" s="5" t="inlineStr">
        <is>
          <t>Fully loaded cost per FTE / year</t>
        </is>
      </c>
      <c r="B8" s="6" t="n">
        <v>85000</v>
      </c>
      <c r="C8" s="5" t="inlineStr">
        <is>
          <t>USD</t>
        </is>
      </c>
      <c r="D8" s="5" t="inlineStr">
        <is>
          <t>Salary, benefits, occupancy</t>
        </is>
      </c>
    </row>
    <row r="9">
      <c r="A9" s="5" t="inlineStr">
        <is>
          <t>Manual-touch share</t>
        </is>
      </c>
      <c r="B9" s="7" t="n">
        <v>0.67</v>
      </c>
      <c r="C9" s="5" t="inlineStr">
        <is>
          <t>ratio</t>
        </is>
      </c>
      <c r="D9" s="5" t="inlineStr">
        <is>
          <t>1 − current STP; if unknown use 0.67 (Ardent STP 32.6% is external)</t>
        </is>
      </c>
    </row>
    <row r="10">
      <c r="A10" s="5" t="inlineStr">
        <is>
          <t>Exception rate</t>
        </is>
      </c>
      <c r="B10" s="7" t="n">
        <v>0.18</v>
      </c>
      <c r="C10" s="5" t="inlineStr">
        <is>
          <t>ratio</t>
        </is>
      </c>
      <c r="D10" s="5" t="inlineStr">
        <is>
          <t>Your 90-day rate; external range ~0.14–0.21</t>
        </is>
      </c>
    </row>
    <row r="11">
      <c r="A11" s="5" t="inlineStr">
        <is>
          <t>Minutes per exception</t>
        </is>
      </c>
      <c r="B11" s="6" t="n">
        <v>22</v>
      </c>
      <c r="C11" s="5" t="inlineStr">
        <is>
          <t>minutes</t>
        </is>
      </c>
      <c r="D11" s="5" t="inlineStr">
        <is>
          <t>Time study or honest estimate</t>
        </is>
      </c>
    </row>
    <row r="12">
      <c r="A12" s="5" t="inlineStr">
        <is>
          <t>Confirmed duplicate-payment rate</t>
        </is>
      </c>
      <c r="B12" s="7" t="n">
        <v>0.0004</v>
      </c>
      <c r="C12" s="5" t="inlineStr">
        <is>
          <t>ratio</t>
        </is>
      </c>
      <c r="D12" s="5" t="inlineStr">
        <is>
          <t>Your history; do not invent</t>
        </is>
      </c>
    </row>
    <row r="13">
      <c r="A13" s="5" t="inlineStr">
        <is>
          <t>Average invoice value</t>
        </is>
      </c>
      <c r="B13" s="6" t="n">
        <v>2400</v>
      </c>
      <c r="C13" s="5" t="inlineStr">
        <is>
          <t>USD</t>
        </is>
      </c>
      <c r="D13" s="5" t="inlineStr">
        <is>
          <t>For duplicate $ exposure only</t>
        </is>
      </c>
    </row>
    <row r="14">
      <c r="A14" s="5" t="inlineStr">
        <is>
          <t>Late-payment fees / year</t>
        </is>
      </c>
      <c r="B14" s="6" t="n">
        <v>18000</v>
      </c>
      <c r="C14" s="5" t="inlineStr">
        <is>
          <t>USD</t>
        </is>
      </c>
      <c r="D14" s="5" t="inlineStr">
        <is>
          <t>Documented only</t>
        </is>
      </c>
    </row>
    <row r="15">
      <c r="A15" s="5" t="inlineStr">
        <is>
          <t>Early-pay discounts available / year</t>
        </is>
      </c>
      <c r="B15" s="6" t="n">
        <v>40000</v>
      </c>
      <c r="C15" s="5" t="inlineStr">
        <is>
          <t>USD</t>
        </is>
      </c>
      <c r="D15" s="5" t="inlineStr">
        <is>
          <t>Policy-eligible</t>
        </is>
      </c>
    </row>
    <row r="16">
      <c r="A16" s="5" t="inlineStr">
        <is>
          <t>Discount capture today</t>
        </is>
      </c>
      <c r="B16" s="7" t="n">
        <v>0.35</v>
      </c>
      <c r="C16" s="5" t="inlineStr">
        <is>
          <t>ratio</t>
        </is>
      </c>
      <c r="D16" s="5" t="inlineStr"/>
    </row>
    <row r="17">
      <c r="A17" s="5" t="inlineStr">
        <is>
          <t>AP technology cost / year</t>
        </is>
      </c>
      <c r="B17" s="6" t="n">
        <v>120000</v>
      </c>
      <c r="C17" s="5" t="inlineStr">
        <is>
          <t>USD</t>
        </is>
      </c>
      <c r="D17" s="5" t="inlineStr">
        <is>
          <t>Current stack</t>
        </is>
      </c>
    </row>
    <row r="18">
      <c r="A18" s="5" t="inlineStr">
        <is>
          <t>Incremental AI/tool cost / year</t>
        </is>
      </c>
      <c r="B18" s="6" t="n">
        <v>36000</v>
      </c>
      <c r="C18" s="5" t="inlineStr">
        <is>
          <t>USD</t>
        </is>
      </c>
      <c r="D18" s="5" t="inlineStr">
        <is>
          <t>Models, IDP increment, licences</t>
        </is>
      </c>
    </row>
    <row r="19">
      <c r="A19" s="5" t="inlineStr">
        <is>
          <t>Implementation cost (once)</t>
        </is>
      </c>
      <c r="B19" s="6" t="n">
        <v>45000</v>
      </c>
      <c r="C19" s="5" t="inlineStr">
        <is>
          <t>USD</t>
        </is>
      </c>
      <c r="D19" s="5" t="inlineStr">
        <is>
          <t>Internal + this toolkit + integrator time</t>
        </is>
      </c>
    </row>
    <row r="20">
      <c r="A20" s="5" t="inlineStr">
        <is>
          <t>Conservative exception-time reduction</t>
        </is>
      </c>
      <c r="B20" s="7" t="n">
        <v>0.12</v>
      </c>
      <c r="C20" s="5" t="inlineStr">
        <is>
          <t>ratio</t>
        </is>
      </c>
      <c r="D20" s="5" t="inlineStr">
        <is>
          <t>First bounded year</t>
        </is>
      </c>
    </row>
    <row r="21">
      <c r="A21" s="5" t="inlineStr">
        <is>
          <t>Base exception-time reduction</t>
        </is>
      </c>
      <c r="B21" s="7" t="n">
        <v>0.22</v>
      </c>
      <c r="C21" s="5" t="inlineStr">
        <is>
          <t>ratio</t>
        </is>
      </c>
      <c r="D21" s="5" t="inlineStr">
        <is>
          <t>After two promoted agents</t>
        </is>
      </c>
    </row>
    <row r="22">
      <c r="A22" s="5" t="inlineStr">
        <is>
          <t>Upside exception-time reduction</t>
        </is>
      </c>
      <c r="B22" s="7" t="n">
        <v>0.35</v>
      </c>
      <c r="C22" s="5" t="inlineStr">
        <is>
          <t>ratio</t>
        </is>
      </c>
      <c r="D22" s="5" t="inlineStr">
        <is>
          <t>Do not use as a pledge</t>
        </is>
      </c>
    </row>
    <row r="23">
      <c r="A23" s="5" t="inlineStr">
        <is>
          <t>Discount capture lift (base)</t>
        </is>
      </c>
      <c r="B23" s="7" t="n">
        <v>0.15</v>
      </c>
      <c r="C23" s="5" t="inlineStr">
        <is>
          <t>ratio</t>
        </is>
      </c>
      <c r="D23" s="5" t="inlineStr">
        <is>
          <t>Points of available discounts</t>
        </is>
      </c>
    </row>
    <row r="24">
      <c r="A24" s="5" t="inlineStr">
        <is>
          <t>Duplicate $ avoided (base, annual)</t>
        </is>
      </c>
      <c r="B24" s="6" t="n">
        <v>25000</v>
      </c>
      <c r="C24" s="5" t="inlineStr">
        <is>
          <t>USD</t>
        </is>
      </c>
      <c r="D24" s="5" t="inlineStr">
        <is>
          <t>Only if controls actually stop items</t>
        </is>
      </c>
    </row>
    <row r="26">
      <c r="A26" t="inlineStr">
        <is>
          <t>Named cells map to the Model sheet. Yellow = input. Everything else is calculated.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  <col width="16" customWidth="1" min="4" max="4"/>
    <col width="48" customWidth="1" min="5" max="5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Calculated case — conservative / base / upside</t>
        </is>
      </c>
    </row>
    <row r="3">
      <c r="A3" s="3" t="inlineStr">
        <is>
          <t>FIN-06: do not report savings in a steer pack without Controller attestation.</t>
        </is>
      </c>
    </row>
    <row r="5">
      <c r="A5" s="4" t="inlineStr">
        <is>
          <t>Output</t>
        </is>
      </c>
      <c r="B5" s="4" t="inlineStr">
        <is>
          <t>Conservative</t>
        </is>
      </c>
      <c r="C5" s="4" t="inlineStr">
        <is>
          <t>Base</t>
        </is>
      </c>
      <c r="D5" s="4" t="inlineStr">
        <is>
          <t>Upside</t>
        </is>
      </c>
      <c r="E5" s="4" t="inlineStr">
        <is>
          <t>Formula notes</t>
        </is>
      </c>
    </row>
    <row r="6">
      <c r="A6" s="5" t="inlineStr">
        <is>
          <t>Annual invoice volume</t>
        </is>
      </c>
      <c r="B6" s="8">
        <f>Inputs!B6*12</f>
        <v/>
      </c>
      <c r="C6" s="8">
        <f>B6</f>
        <v/>
      </c>
      <c r="D6" s="8">
        <f>B6</f>
        <v/>
      </c>
      <c r="E6" s="9" t="inlineStr">
        <is>
          <t>Monthly × 12</t>
        </is>
      </c>
    </row>
    <row r="7">
      <c r="A7" s="5" t="inlineStr">
        <is>
          <t>Annual fully loaded AP labour</t>
        </is>
      </c>
      <c r="B7" s="8">
        <f>Inputs!B7*Inputs!B8</f>
        <v/>
      </c>
      <c r="C7" s="8">
        <f>B7</f>
        <v/>
      </c>
      <c r="D7" s="8">
        <f>B7</f>
        <v/>
      </c>
      <c r="E7" s="9" t="inlineStr">
        <is>
          <t>FTE × cost</t>
        </is>
      </c>
    </row>
    <row r="8">
      <c r="A8" s="5" t="inlineStr">
        <is>
          <t>Baseline processing cost (labour+tech)</t>
        </is>
      </c>
      <c r="B8" s="8">
        <f>B7+Inputs!B17</f>
        <v/>
      </c>
      <c r="C8" s="8">
        <f>B8</f>
        <v/>
      </c>
      <c r="D8" s="8">
        <f>B8</f>
        <v/>
      </c>
      <c r="E8" s="9" t="inlineStr">
        <is>
          <t>Excludes one-off impl</t>
        </is>
      </c>
    </row>
    <row r="9">
      <c r="A9" s="5" t="inlineStr">
        <is>
          <t>Baseline exception hours</t>
        </is>
      </c>
      <c r="B9" s="8">
        <f>Inputs!B6*12*Inputs!B10*Inputs!B11/60</f>
        <v/>
      </c>
      <c r="C9" s="8">
        <f>B9</f>
        <v/>
      </c>
      <c r="D9" s="8">
        <f>B9</f>
        <v/>
      </c>
      <c r="E9" s="9" t="inlineStr">
        <is>
          <t>Vol × ex rate × minutes</t>
        </is>
      </c>
    </row>
    <row r="10">
      <c r="A10" s="5" t="inlineStr">
        <is>
          <t>Exception labour $ (if all exceptions costed at FTE rate)</t>
        </is>
      </c>
      <c r="B10" s="8">
        <f>B9*(Inputs!B8/1800)</f>
        <v/>
      </c>
      <c r="C10" s="8">
        <f>B10</f>
        <v/>
      </c>
      <c r="D10" s="8">
        <f>B10</f>
        <v/>
      </c>
      <c r="E10" s="9" t="inlineStr">
        <is>
          <t>1800 hours / FTE year</t>
        </is>
      </c>
    </row>
    <row r="11">
      <c r="A11" s="5" t="inlineStr">
        <is>
          <t>Hours released</t>
        </is>
      </c>
      <c r="B11" s="8">
        <f>B9*Inputs!B20</f>
        <v/>
      </c>
      <c r="C11" s="8">
        <f>B9*Inputs!B21</f>
        <v/>
      </c>
      <c r="D11" s="8">
        <f>B9*Inputs!B22</f>
        <v/>
      </c>
      <c r="E11" s="9" t="inlineStr">
        <is>
          <t>Reduction × exception hours</t>
        </is>
      </c>
    </row>
    <row r="12">
      <c r="A12" s="5" t="inlineStr">
        <is>
          <t>Labour $ released (capacity, not automatic cash)</t>
        </is>
      </c>
      <c r="B12" s="10">
        <f>B11*(Inputs!B8/1800)</f>
        <v/>
      </c>
      <c r="C12" s="10">
        <f>B12*(Inputs!B8/1800)</f>
        <v/>
      </c>
      <c r="D12" s="10">
        <f>B13*(Inputs!B8/1800)</f>
        <v/>
      </c>
      <c r="E12" s="9" t="inlineStr">
        <is>
          <t>Capacity unless roles change</t>
        </is>
      </c>
    </row>
    <row r="13">
      <c r="A13" s="5" t="inlineStr">
        <is>
          <t>AI + incremental tool $</t>
        </is>
      </c>
      <c r="B13" s="11">
        <f>Inputs!B18</f>
        <v/>
      </c>
      <c r="C13" s="11">
        <f>Inputs!B18</f>
        <v/>
      </c>
      <c r="D13" s="11">
        <f>Inputs!B18</f>
        <v/>
      </c>
      <c r="E13" s="9" t="inlineStr"/>
    </row>
    <row r="14">
      <c r="A14" s="5" t="inlineStr">
        <is>
          <t>Net operating benefit year 1 (capacity – AI + discount lift + dup + late/2)</t>
        </is>
      </c>
      <c r="B14" s="12">
        <f>B12-B13+(Inputs!B15*Inputs!B23)+Inputs!B24*0.5+Inputs!B14*0.25</f>
        <v/>
      </c>
      <c r="C14" s="12">
        <f>C12-C13+(Inputs!B15*Inputs!B23)+Inputs!B24+Inputs!B14*0.5</f>
        <v/>
      </c>
      <c r="D14" s="12">
        <f>D12-D13+(Inputs!B15*Inputs!B23*1.2)+Inputs!B24*1.2+Inputs!B14*0.7</f>
        <v/>
      </c>
      <c r="E14" s="9" t="inlineStr">
        <is>
          <t>Discount and late effects are optional</t>
        </is>
      </c>
    </row>
    <row r="15">
      <c r="A15" s="5" t="inlineStr">
        <is>
          <t>Implementation (once)</t>
        </is>
      </c>
      <c r="B15" s="12">
        <f>Inputs!B19</f>
        <v/>
      </c>
      <c r="C15" s="12">
        <f>Inputs!B19</f>
        <v/>
      </c>
      <c r="D15" s="12">
        <f>Inputs!B19</f>
        <v/>
      </c>
      <c r="E15" s="9" t="inlineStr"/>
    </row>
    <row r="16">
      <c r="A16" s="5" t="inlineStr">
        <is>
          <t>Year-1 net after impl</t>
        </is>
      </c>
      <c r="B16" s="12">
        <f>B14-B15</f>
        <v/>
      </c>
      <c r="C16" s="12">
        <f>C14-C15</f>
        <v/>
      </c>
      <c r="D16" s="12">
        <f>D14-D15</f>
        <v/>
      </c>
      <c r="E16" s="9" t="inlineStr"/>
    </row>
    <row r="17">
      <c r="A17" s="5" t="inlineStr">
        <is>
          <t>Simple payback (months)</t>
        </is>
      </c>
      <c r="B17" s="12">
        <f>IF(B14&lt;=0,"n/m",B15/B14*12)</f>
        <v/>
      </c>
      <c r="C17" s="12">
        <f>IF(C14&lt;=0,"n/m",C15/C14*12)</f>
        <v/>
      </c>
      <c r="D17" s="12">
        <f>IF(D14&lt;=0,"n/m",D15/D14*12)</f>
        <v/>
      </c>
      <c r="E17" s="9" t="inlineStr">
        <is>
          <t>Impl / annual benefit</t>
        </is>
      </c>
    </row>
    <row r="18">
      <c r="A18" s="5" t="inlineStr">
        <is>
          <t>ROI on impl (year 1)</t>
        </is>
      </c>
      <c r="B18" s="12">
        <f>IF(B15=0,0,B16/B15)</f>
        <v/>
      </c>
      <c r="C18" s="12">
        <f>IF(C15=0,0,C16/C15)</f>
        <v/>
      </c>
      <c r="D18" s="12">
        <f>IF(D15=0,0,D16/D15)</f>
        <v/>
      </c>
      <c r="E18" s="9" t="inlineStr">
        <is>
          <t>(Y1 net)/impl</t>
        </is>
      </c>
    </row>
    <row r="19">
      <c r="A19" s="5" t="inlineStr">
        <is>
          <t>Cost per invoice baseline</t>
        </is>
      </c>
      <c r="B19" s="12">
        <f>(B8)/(B6)</f>
        <v/>
      </c>
      <c r="C19" s="12">
        <f>C8/C6</f>
        <v/>
      </c>
      <c r="D19" s="12">
        <f>D8/D6</f>
        <v/>
      </c>
      <c r="E19" s="9" t="inlineStr">
        <is>
          <t>Labour+tech / volume</t>
        </is>
      </c>
    </row>
    <row r="20">
      <c r="A20" s="5" t="inlineStr">
        <is>
          <t>Cost per invoice after (illustrative)</t>
        </is>
      </c>
      <c r="B20" s="12">
        <f>(B8+Inputs!B18-B12)/B6</f>
        <v/>
      </c>
      <c r="C20" s="12">
        <f>(C8+Inputs!B18-C12)/C6</f>
        <v/>
      </c>
      <c r="D20" s="12">
        <f>(D8+Inputs!B18-D12)/D6</f>
        <v/>
      </c>
      <c r="E20" s="9" t="inlineStr">
        <is>
          <t>Adds AI, subtracts capacity $</t>
        </is>
      </c>
    </row>
    <row r="22">
      <c r="A22" t="inlineStr">
        <is>
          <t>Sensitivity: if implementation doubles (change Inputs!B19) payback moves linearly. If exception rate is unknown, do not publish a $ savings figure.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40" customWidth="1" min="4" max="4"/>
  </cols>
  <sheetData>
    <row r="1">
      <c r="A1" s="1" t="inlineStr">
        <is>
          <t>EVIDENCE ROOM  ·  AP AGENT OS</t>
        </is>
      </c>
    </row>
    <row r="2" ht="22" customHeight="1">
      <c r="A2" s="2" t="inlineStr">
        <is>
          <t>External reference — not your baseline</t>
        </is>
      </c>
    </row>
    <row r="3">
      <c r="A3" s="3" t="inlineStr">
        <is>
          <t>See 09_RESEARCH/EVIDENCE_LEDGER.csv. Independence flags matter.</t>
        </is>
      </c>
    </row>
    <row r="5">
      <c r="A5" s="13" t="inlineStr">
        <is>
          <t>Ledger</t>
        </is>
      </c>
      <c r="B5" s="13" t="inlineStr">
        <is>
          <t>Claim</t>
        </is>
      </c>
      <c r="C5" s="13" t="inlineStr">
        <is>
          <t>Figure</t>
        </is>
      </c>
      <c r="D5" s="13" t="inlineStr">
        <is>
          <t>Source</t>
        </is>
      </c>
    </row>
    <row r="6">
      <c r="A6" s="14" t="inlineStr">
        <is>
          <t>AP-001</t>
        </is>
      </c>
      <c r="B6" s="14" t="inlineStr">
        <is>
          <t>Avg cost / invoice (Ardent 2024)</t>
        </is>
      </c>
      <c r="C6" s="15" t="n">
        <v>9.4</v>
      </c>
      <c r="D6" s="14" t="inlineStr">
        <is>
          <t>Ardent State of ePayables 2024</t>
        </is>
      </c>
    </row>
    <row r="7">
      <c r="A7" s="14" t="inlineStr">
        <is>
          <t>AP-009</t>
        </is>
      </c>
      <c r="B7" s="14" t="inlineStr">
        <is>
          <t>Best-in-class cost / invoice</t>
        </is>
      </c>
      <c r="C7" s="15" t="n">
        <v>2.78</v>
      </c>
      <c r="D7" s="14" t="inlineStr">
        <is>
          <t>Ardent 2024</t>
        </is>
      </c>
    </row>
    <row r="8">
      <c r="A8" s="14" t="inlineStr">
        <is>
          <t>AP-010</t>
        </is>
      </c>
      <c r="B8" s="14" t="inlineStr">
        <is>
          <t>All-other cost / invoice</t>
        </is>
      </c>
      <c r="C8" s="15" t="n">
        <v>12.88</v>
      </c>
      <c r="D8" s="14" t="inlineStr">
        <is>
          <t>Ardent 2024</t>
        </is>
      </c>
    </row>
    <row r="9">
      <c r="A9" s="14" t="inlineStr">
        <is>
          <t>AP-003</t>
        </is>
      </c>
      <c r="B9" s="14" t="inlineStr">
        <is>
          <t>Exception rate (2024 SoE)</t>
        </is>
      </c>
      <c r="C9" s="16" t="n">
        <v>0.14</v>
      </c>
      <c r="D9" s="14" t="inlineStr">
        <is>
          <t>Ardent 2024</t>
        </is>
      </c>
    </row>
    <row r="10">
      <c r="A10" s="14" t="inlineStr">
        <is>
          <t>AP-007</t>
        </is>
      </c>
      <c r="B10" s="14" t="inlineStr">
        <is>
          <t>Exception rate (Metrics 2024)</t>
        </is>
      </c>
      <c r="C10" s="16" t="n">
        <v>0.207</v>
      </c>
      <c r="D10" s="14" t="inlineStr">
        <is>
          <t>Ardent / Basware dist.</t>
        </is>
      </c>
    </row>
    <row r="11">
      <c r="A11" s="14" t="inlineStr">
        <is>
          <t>AP-016</t>
        </is>
      </c>
      <c r="B11" s="14" t="inlineStr">
        <is>
          <t>Exception rate (2026 commentary)</t>
        </is>
      </c>
      <c r="C11" s="16" t="n">
        <v>0.184</v>
      </c>
      <c r="D11" s="14" t="inlineStr">
        <is>
          <t>Ardent Payables Place</t>
        </is>
      </c>
    </row>
    <row r="12">
      <c r="A12" s="14" t="inlineStr">
        <is>
          <t>AP-004</t>
        </is>
      </c>
      <c r="B12" s="14" t="inlineStr">
        <is>
          <t>STP (2024)</t>
        </is>
      </c>
      <c r="C12" s="16" t="n">
        <v>0.326</v>
      </c>
      <c r="D12" s="14" t="inlineStr">
        <is>
          <t>Ardent 2024</t>
        </is>
      </c>
    </row>
    <row r="13">
      <c r="A13" s="14" t="inlineStr">
        <is>
          <t>AP-023</t>
        </is>
      </c>
      <c r="B13" s="14" t="inlineStr">
        <is>
          <t>Finance AI with clear ROI</t>
        </is>
      </c>
      <c r="C13" s="16" t="n">
        <v>0.21</v>
      </c>
      <c r="D13" s="14" t="inlineStr">
        <is>
          <t>Deloitte 2026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&amp;LEvidence Room · Licensed use only · Not legal, tax or audit advice&amp;RPage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7" t="inlineStr">
        <is>
          <t>Illustrative model. Not a guarantee of savings, ROI, or control effectiveness. Not legal, tax, or audit advice. Capacity is not cash unless a role or purchase is actually 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2026-09-20T15:59:13Z</dcterms:created>
  <dcterms:modified xmlns:dcterms="http://purl.org/dc/terms/" xmlns:xsi="http://www.w3.org/2001/XMLSchema-instance" xsi:type="dcterms:W3CDTF">2026-09-20T15:59:13Z</dcterms:modified>
</cp:coreProperties>
</file>