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Model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4C5C"/>
      <sz val="14"/>
    </font>
    <font>
      <name val="Calibri"/>
      <b val="1"/>
      <color rgb="00FFFFFF"/>
      <sz val="11"/>
    </font>
    <font>
      <name val="Calibri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28" customWidth="1" min="3" max="3"/>
    <col width="50" customWidth="1" min="4" max="4"/>
  </cols>
  <sheetData>
    <row r="1">
      <c r="A1" s="1" t="inlineStr">
        <is>
          <t>EVIDENCE ROOM — AP Agent ROI Calculator</t>
        </is>
      </c>
    </row>
    <row r="2"/>
    <row r="3">
      <c r="A3" s="2" t="inlineStr">
        <is>
          <t>Input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Monthly Invoice Volume</t>
        </is>
      </c>
      <c r="B4" s="3" t="n">
        <v>5000</v>
      </c>
      <c r="C4" s="3" t="inlineStr">
        <is>
          <t>invoices/month</t>
        </is>
      </c>
      <c r="D4" s="3" t="inlineStr">
        <is>
          <t>Adjust to your organisation</t>
        </is>
      </c>
    </row>
    <row r="5">
      <c r="A5" s="3" t="inlineStr">
        <is>
          <t>AP Headcount (FTE)</t>
        </is>
      </c>
      <c r="B5" s="3" t="n">
        <v>8</v>
      </c>
      <c r="C5" s="3" t="inlineStr">
        <is>
          <t>people</t>
        </is>
      </c>
      <c r="D5" s="3" t="n"/>
    </row>
    <row r="6">
      <c r="A6" s="3" t="inlineStr">
        <is>
          <t>Fully Loaded Labour Cost</t>
        </is>
      </c>
      <c r="B6" s="3" t="n">
        <v>75000</v>
      </c>
      <c r="C6" s="3" t="inlineStr">
        <is>
          <t>USD/year per FTE</t>
        </is>
      </c>
      <c r="D6" s="3" t="n"/>
    </row>
    <row r="7">
      <c r="A7" s="3" t="inlineStr">
        <is>
          <t>Manual Touch Rate</t>
        </is>
      </c>
      <c r="B7" s="3" t="n">
        <v>0.68</v>
      </c>
      <c r="C7" s="3" t="inlineStr">
        <is>
          <t>% of invoices</t>
        </is>
      </c>
      <c r="D7" s="3" t="inlineStr">
        <is>
          <t>Ardent Partners 2025 benchmark: 14%</t>
        </is>
      </c>
    </row>
    <row r="8">
      <c r="A8" s="3" t="inlineStr">
        <is>
          <t>Exception Rate</t>
        </is>
      </c>
      <c r="B8" s="3" t="n">
        <v>0.14</v>
      </c>
      <c r="C8" s="3" t="inlineStr">
        <is>
          <t>% of invoices</t>
        </is>
      </c>
      <c r="D8" s="3" t="n"/>
    </row>
    <row r="9">
      <c r="A9" s="3" t="inlineStr">
        <is>
          <t>Avg Exception Resolution (minutes)</t>
        </is>
      </c>
      <c r="B9" s="3" t="n">
        <v>25</v>
      </c>
      <c r="C9" s="3" t="inlineStr">
        <is>
          <t>minutes</t>
        </is>
      </c>
      <c r="D9" s="3" t="n"/>
    </row>
    <row r="10">
      <c r="A10" s="3" t="inlineStr">
        <is>
          <t>Duplicate Invoice Rate</t>
        </is>
      </c>
      <c r="B10" s="3" t="n">
        <v>0.008</v>
      </c>
      <c r="C10" s="3" t="inlineStr">
        <is>
          <t>% of invoices</t>
        </is>
      </c>
      <c r="D10" s="3" t="inlineStr">
        <is>
          <t>Ardent Partners 2025: $9.40 average</t>
        </is>
      </c>
    </row>
    <row r="11">
      <c r="A11" s="3" t="inlineStr">
        <is>
          <t>Cost Per Invoice (current)</t>
        </is>
      </c>
      <c r="B11" s="3" t="n">
        <v>9.4</v>
      </c>
      <c r="C11" s="3" t="inlineStr">
        <is>
          <t>USD (Ardent benchmark)</t>
        </is>
      </c>
      <c r="D11" s="3" t="n"/>
    </row>
    <row r="12">
      <c r="A12" s="3" t="inlineStr">
        <is>
          <t>AI/Tool Monthly Cost</t>
        </is>
      </c>
      <c r="B12" s="3" t="n">
        <v>2500</v>
      </c>
      <c r="C12" s="3" t="inlineStr">
        <is>
          <t>USD/month</t>
        </is>
      </c>
      <c r="D12" s="3" t="inlineStr">
        <is>
          <t>Conservative: 15-20%; Base: 25-35%; Upside: 40-50%</t>
        </is>
      </c>
    </row>
    <row r="13">
      <c r="A13" s="3" t="inlineStr">
        <is>
          <t>Implementation Cost (one-time)</t>
        </is>
      </c>
      <c r="B13" s="3" t="n">
        <v>50000</v>
      </c>
      <c r="C13" s="3" t="inlineStr">
        <is>
          <t>USD</t>
        </is>
      </c>
      <c r="D13" s="3" t="n"/>
    </row>
    <row r="14">
      <c r="A14" s="3" t="inlineStr">
        <is>
          <t>Expected Efficiency Gain (Base)</t>
        </is>
      </c>
      <c r="B14" s="3" t="n">
        <v>0.25</v>
      </c>
      <c r="C14" s="3" t="inlineStr">
        <is>
          <t>% reduction in manual work</t>
        </is>
      </c>
      <c r="D14" s="3" t="n"/>
    </row>
    <row r="15">
      <c r="A15" s="3" t="inlineStr">
        <is>
          <t>Expected STP Improvement (Base)</t>
        </is>
      </c>
      <c r="B15" s="3" t="n">
        <v>0.15</v>
      </c>
      <c r="C15" s="3" t="inlineStr">
        <is>
          <t>percentage points</t>
        </is>
      </c>
      <c r="D15" s="3" t="n"/>
    </row>
    <row r="16"/>
    <row r="17"/>
    <row r="18">
      <c r="A18" s="4" t="inlineStr">
        <is>
          <t>OUTPUTS</t>
        </is>
      </c>
    </row>
    <row r="19">
      <c r="A19" s="2" t="inlineStr">
        <is>
          <t>Metric</t>
        </is>
      </c>
      <c r="B19" s="2" t="inlineStr">
        <is>
          <t>Value</t>
        </is>
      </c>
      <c r="C19" s="2" t="inlineStr">
        <is>
          <t>Formula/Notes</t>
        </is>
      </c>
    </row>
    <row r="20">
      <c r="A20" s="3" t="inlineStr">
        <is>
          <t>Annual Invoice Volume</t>
        </is>
      </c>
      <c r="B20" s="3">
        <f>B4*12</f>
        <v/>
      </c>
      <c r="C20" s="3" t="n"/>
    </row>
    <row r="21">
      <c r="A21" s="3" t="inlineStr">
        <is>
          <t>Annual AP Labour Cost</t>
        </is>
      </c>
      <c r="B21" s="3">
        <f>B5*B6</f>
        <v/>
      </c>
      <c r="C21" s="3" t="n"/>
    </row>
    <row r="22">
      <c r="A22" s="3" t="inlineStr">
        <is>
          <t>Annual Manual Touches</t>
        </is>
      </c>
      <c r="B22" s="3">
        <f>B17*B7</f>
        <v/>
      </c>
      <c r="C22" s="3" t="n"/>
    </row>
    <row r="23">
      <c r="A23" s="3" t="inlineStr">
        <is>
          <t>Annual Exceptions</t>
        </is>
      </c>
      <c r="B23" s="3">
        <f>B17*B8</f>
        <v/>
      </c>
      <c r="C23" s="3" t="n"/>
    </row>
    <row r="24">
      <c r="A24" s="3" t="inlineStr">
        <is>
          <t>Exception Hours/Year</t>
        </is>
      </c>
      <c r="B24" s="3">
        <f>B19*B9/60</f>
        <v/>
      </c>
      <c r="C24" s="3" t="n"/>
    </row>
    <row r="25">
      <c r="A25" s="3" t="inlineStr">
        <is>
          <t>Baseline Processing Cost</t>
        </is>
      </c>
      <c r="B25" s="3">
        <f>B17*B10</f>
        <v/>
      </c>
      <c r="C25" s="3" t="n"/>
    </row>
    <row r="26">
      <c r="A26" s="3" t="inlineStr">
        <is>
          <t>Conservative Savings (15%)</t>
        </is>
      </c>
      <c r="B26" s="3">
        <f>B21*0.15</f>
        <v/>
      </c>
      <c r="C26" s="3" t="n"/>
    </row>
    <row r="27">
      <c r="A27" s="3" t="inlineStr">
        <is>
          <t>Base Savings (25%)</t>
        </is>
      </c>
      <c r="B27" s="3">
        <f>B21*0.25</f>
        <v/>
      </c>
      <c r="C27" s="3" t="n"/>
    </row>
    <row r="28">
      <c r="A28" s="3" t="inlineStr">
        <is>
          <t>Upside Savings (35%)</t>
        </is>
      </c>
      <c r="B28" s="3">
        <f>B21*0.35</f>
        <v/>
      </c>
      <c r="C28" s="3" t="n"/>
    </row>
    <row r="29">
      <c r="A29" s="3" t="inlineStr">
        <is>
          <t>Annual AI Cost</t>
        </is>
      </c>
      <c r="B29" s="3">
        <f>B11*12</f>
        <v/>
      </c>
      <c r="C29" s="3" t="n"/>
    </row>
    <row r="30">
      <c r="A30" s="3" t="inlineStr">
        <is>
          <t>Net Base Savings (Year 1)</t>
        </is>
      </c>
      <c r="B30" s="3">
        <f>B24-B26-B12</f>
        <v/>
      </c>
      <c r="C30" s="3" t="n"/>
    </row>
    <row r="31">
      <c r="A31" s="3" t="inlineStr">
        <is>
          <t>Payback Period (months)</t>
        </is>
      </c>
      <c r="B31" s="3">
        <f>B12/(B24/12)</f>
        <v/>
      </c>
      <c r="C31" s="3" t="n"/>
    </row>
    <row r="32">
      <c r="A32" s="3" t="inlineStr">
        <is>
          <t>3-Year Base ROI</t>
        </is>
      </c>
      <c r="B32" s="3">
        <f>(B24*3-B12-B26*3)/(B12+B26*3)</f>
        <v/>
      </c>
      <c r="C32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26" customWidth="1" min="4" max="4"/>
  </cols>
  <sheetData>
    <row r="1">
      <c r="A1" s="2" t="inlineStr">
        <is>
          <t>Scenario</t>
        </is>
      </c>
      <c r="B1" s="2" t="inlineStr">
        <is>
          <t>Efficiency Gain</t>
        </is>
      </c>
      <c r="C1" s="2" t="inlineStr">
        <is>
          <t>Annual Savings</t>
        </is>
      </c>
      <c r="D1" s="2" t="inlineStr">
        <is>
          <t>Payback (months)</t>
        </is>
      </c>
    </row>
    <row r="2">
      <c r="A2" t="inlineStr">
        <is>
          <t>Conservative</t>
        </is>
      </c>
      <c r="B2" t="n">
        <v>0.15</v>
      </c>
      <c r="C2">
        <f>'ROI Model'!B21*0.15</f>
        <v/>
      </c>
      <c r="D2">
        <f>'ROI Model'!B12/(C2/12)</f>
        <v/>
      </c>
    </row>
    <row r="3">
      <c r="A3" t="inlineStr">
        <is>
          <t>Base</t>
        </is>
      </c>
      <c r="B3" t="n">
        <v>0.25</v>
      </c>
      <c r="C3">
        <f>'ROI Model'!B21*0.25</f>
        <v/>
      </c>
      <c r="D3">
        <f>'ROI Model'!B12/(C3/12)</f>
        <v/>
      </c>
    </row>
    <row r="4">
      <c r="A4" t="inlineStr">
        <is>
          <t>Upside</t>
        </is>
      </c>
      <c r="B4" t="n">
        <v>0.35</v>
      </c>
      <c r="C4">
        <f>'ROI Model'!B21*0.35</f>
        <v/>
      </c>
      <c r="D4">
        <f>'ROI Model'!B12/(C4/12)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