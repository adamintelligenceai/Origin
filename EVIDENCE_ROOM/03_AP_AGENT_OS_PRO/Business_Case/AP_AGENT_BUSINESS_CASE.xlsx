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Agent_econom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"/>
    <numFmt numFmtId="166" formatCode="#,##0.0"/>
    <numFmt numFmtId="167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8C7349"/>
      <sz val="10"/>
    </font>
    <font>
      <name val="Calibri"/>
      <b val="1"/>
      <color rgb="00121614"/>
      <sz val="18"/>
    </font>
    <font>
      <name val="Calibri"/>
      <color rgb="004A524C"/>
      <sz val="11"/>
    </font>
    <font>
      <name val="Calibri"/>
      <b val="1"/>
      <color rgb="00F3EFE6"/>
      <sz val="10"/>
    </font>
    <font>
      <name val="Calibri"/>
      <color rgb="00121614"/>
      <sz val="10"/>
    </font>
    <font>
      <name val="Calibri"/>
      <b val="1"/>
      <color rgb="00121614"/>
      <sz val="10"/>
    </font>
    <font>
      <name val="Calibri"/>
      <color rgb="004A524C"/>
      <sz val="10"/>
    </font>
  </fonts>
  <fills count="4">
    <fill>
      <patternFill/>
    </fill>
    <fill>
      <patternFill patternType="gray125"/>
    </fill>
    <fill>
      <patternFill patternType="solid">
        <fgColor rgb="00121614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C9C2B4"/>
      </left>
      <right style="thin">
        <color rgb="00C9C2B4"/>
      </right>
      <top style="thin">
        <color rgb="00C9C2B4"/>
      </top>
      <bottom style="thin">
        <color rgb="00C9C2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10" fontId="5" fillId="3" borderId="1" pivotButton="0" quotePrefix="0" xfId="0"/>
    <xf numFmtId="0" fontId="6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4" fontId="5" fillId="0" borderId="1" pivotButton="0" quotePrefix="0" xfId="0"/>
    <xf numFmtId="0" fontId="7" fillId="0" borderId="0" pivotButton="0" quotePrefix="0" xfId="0"/>
    <xf numFmtId="167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EVIDENCE ROOM  ·  AP AGENT OS</t>
        </is>
      </c>
    </row>
    <row r="2" ht="24" customHeight="1">
      <c r="A2" s="2" t="inlineStr">
        <is>
          <t>AP Agent business case — inputs</t>
        </is>
      </c>
    </row>
    <row r="3">
      <c r="A3" s="3" t="inlineStr">
        <is>
          <t>Illustrative ranges. Not a forecast. No false precision.</t>
        </is>
      </c>
    </row>
    <row r="5">
      <c r="A5" s="4" t="inlineStr">
        <is>
          <t>Input</t>
        </is>
      </c>
      <c r="B5" s="4" t="inlineStr">
        <is>
          <t>Value</t>
        </is>
      </c>
    </row>
    <row r="6">
      <c r="A6" s="5" t="inlineStr">
        <is>
          <t>Monthly invoices</t>
        </is>
      </c>
      <c r="B6" s="6" t="n">
        <v>15000</v>
      </c>
    </row>
    <row r="7">
      <c r="A7" s="5" t="inlineStr">
        <is>
          <t>AP FTE</t>
        </is>
      </c>
      <c r="B7" s="6" t="n">
        <v>12</v>
      </c>
    </row>
    <row r="8">
      <c r="A8" s="5" t="inlineStr">
        <is>
          <t>Fully loaded cost per FTE (annual USD)</t>
        </is>
      </c>
      <c r="B8" s="6" t="n">
        <v>75000</v>
      </c>
    </row>
    <row r="9">
      <c r="A9" s="5" t="inlineStr">
        <is>
          <t>Manual-touch share</t>
        </is>
      </c>
      <c r="B9" s="7" t="n">
        <v>0.65</v>
      </c>
    </row>
    <row r="10">
      <c r="A10" s="5" t="inlineStr">
        <is>
          <t>Exception rate</t>
        </is>
      </c>
      <c r="B10" s="7" t="n">
        <v>0.22</v>
      </c>
    </row>
    <row r="11">
      <c r="A11" s="5" t="inlineStr">
        <is>
          <t>Average exception minutes</t>
        </is>
      </c>
      <c r="B11" s="6" t="n">
        <v>12</v>
      </c>
    </row>
    <row r="12">
      <c r="A12" s="5" t="inlineStr">
        <is>
          <t>Known duplicate rate (optional)</t>
        </is>
      </c>
      <c r="B12" s="8" t="n">
        <v>0.004</v>
      </c>
    </row>
    <row r="13">
      <c r="A13" s="5" t="inlineStr">
        <is>
          <t>Annual late-payment fees (optional)</t>
        </is>
      </c>
      <c r="B13" s="6" t="n">
        <v>0</v>
      </c>
    </row>
    <row r="14">
      <c r="A14" s="5" t="inlineStr">
        <is>
          <t>Annual early-pay discounts missed (optional)</t>
        </is>
      </c>
      <c r="B14" s="6" t="n">
        <v>0</v>
      </c>
    </row>
    <row r="15">
      <c r="A15" s="5" t="inlineStr">
        <is>
          <t>Annual AI/tool cost</t>
        </is>
      </c>
      <c r="B15" s="6" t="n">
        <v>24000</v>
      </c>
    </row>
    <row r="16">
      <c r="A16" s="5" t="inlineStr">
        <is>
          <t>Implementation cost (once)</t>
        </is>
      </c>
      <c r="B16" s="6" t="n">
        <v>40000</v>
      </c>
    </row>
    <row r="17">
      <c r="A17" s="5" t="inlineStr">
        <is>
          <t>Working hours per FTE-year</t>
        </is>
      </c>
      <c r="B17" s="6" t="n">
        <v>1720</v>
      </c>
    </row>
    <row r="18">
      <c r="A18" s="5" t="inlineStr">
        <is>
          <t>Conservative exception-labour reduction</t>
        </is>
      </c>
      <c r="B18" s="7" t="n">
        <v>0.08</v>
      </c>
    </row>
    <row r="19">
      <c r="A19" s="5" t="inlineStr">
        <is>
          <t>Base exception-labour reduction</t>
        </is>
      </c>
      <c r="B19" s="7" t="n">
        <v>0.18</v>
      </c>
    </row>
    <row r="20">
      <c r="A20" s="5" t="inlineStr">
        <is>
          <t>Upside exception-labour reduction</t>
        </is>
      </c>
      <c r="B20" s="7" t="n">
        <v>0.3</v>
      </c>
    </row>
    <row r="21">
      <c r="A21" s="5" t="inlineStr">
        <is>
          <t>Conservative manual-touch reduction</t>
        </is>
      </c>
      <c r="B21" s="7" t="n">
        <v>0.03</v>
      </c>
    </row>
    <row r="22">
      <c r="A22" s="5" t="inlineStr">
        <is>
          <t>Base manual-touch reduction</t>
        </is>
      </c>
      <c r="B22" s="7" t="n">
        <v>0.08</v>
      </c>
    </row>
    <row r="23">
      <c r="A23" s="5" t="inlineStr">
        <is>
          <t>Upside manual-touch reduction</t>
        </is>
      </c>
      <c r="B23" s="7" t="n">
        <v>0.15</v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  <headerFooter>
    <oddHeader>&amp;LEvidence Room</oddHeader>
    <oddFooter>&amp;RNot legal or accounting advice  ·  Humans authorise payments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EVIDENCE ROOM  ·  AP AGENT OS</t>
        </is>
      </c>
    </row>
    <row r="2" ht="24" customHeight="1">
      <c r="A2" s="2" t="inlineStr">
        <is>
          <t>Scenarios — conservative / base / upside</t>
        </is>
      </c>
    </row>
    <row r="3">
      <c r="A3" s="3" t="inlineStr">
        <is>
          <t>Labour economics only unless optional cash lines are completed.</t>
        </is>
      </c>
    </row>
    <row r="5">
      <c r="A5" s="4" t="inlineStr">
        <is>
          <t>Line</t>
        </is>
      </c>
      <c r="B5" s="4" t="inlineStr">
        <is>
          <t>Conservative</t>
        </is>
      </c>
      <c r="C5" s="4" t="inlineStr">
        <is>
          <t>Base</t>
        </is>
      </c>
      <c r="D5" s="4" t="inlineStr">
        <is>
          <t>Upside</t>
        </is>
      </c>
    </row>
    <row r="6">
      <c r="A6" s="9" t="inlineStr">
        <is>
          <t>Annual AP labour cost</t>
        </is>
      </c>
      <c r="B6" s="10">
        <f>Inputs!B7*Inputs!B8</f>
        <v/>
      </c>
      <c r="C6" s="10">
        <f>B6</f>
        <v/>
      </c>
      <c r="D6" s="10">
        <f>B6</f>
        <v/>
      </c>
    </row>
    <row r="7">
      <c r="A7" s="5" t="inlineStr">
        <is>
          <t>Annual invoices</t>
        </is>
      </c>
      <c r="B7" s="11">
        <f>Inputs!B6*12</f>
        <v/>
      </c>
      <c r="C7" s="11">
        <f>B7</f>
        <v/>
      </c>
      <c r="D7" s="11">
        <f>B7</f>
        <v/>
      </c>
    </row>
    <row r="8">
      <c r="A8" s="5" t="inlineStr">
        <is>
          <t>Implied labour cost / invoice</t>
        </is>
      </c>
      <c r="B8" s="10">
        <f>B6/B7</f>
        <v/>
      </c>
      <c r="C8" s="10">
        <f>B8</f>
        <v/>
      </c>
      <c r="D8" s="10">
        <f>B8</f>
        <v/>
      </c>
    </row>
    <row r="9">
      <c r="A9" s="5" t="inlineStr">
        <is>
          <t>Annual exceptions</t>
        </is>
      </c>
      <c r="B9" s="11">
        <f>B7*Inputs!B10</f>
        <v/>
      </c>
      <c r="C9" s="11">
        <f>B9</f>
        <v/>
      </c>
      <c r="D9" s="11">
        <f>B9</f>
        <v/>
      </c>
    </row>
    <row r="10">
      <c r="A10" s="5" t="inlineStr">
        <is>
          <t>Exception hours / year</t>
        </is>
      </c>
      <c r="B10" s="11">
        <f>B9*Inputs!B11/60</f>
        <v/>
      </c>
      <c r="C10" s="11">
        <f>B10</f>
        <v/>
      </c>
      <c r="D10" s="11">
        <f>B10</f>
        <v/>
      </c>
    </row>
    <row r="11">
      <c r="A11" s="9" t="inlineStr">
        <is>
          <t>Exception labour $ / year</t>
        </is>
      </c>
      <c r="B11" s="10">
        <f>B10*(Inputs!B8/Inputs!B17)</f>
        <v/>
      </c>
      <c r="C11" s="10">
        <f>B11</f>
        <v/>
      </c>
      <c r="D11" s="10">
        <f>B11</f>
        <v/>
      </c>
    </row>
    <row r="12">
      <c r="A12" s="5" t="inlineStr">
        <is>
          <t>Exception labour reduction</t>
        </is>
      </c>
      <c r="B12" s="12">
        <f>Inputs!B18</f>
        <v/>
      </c>
      <c r="C12" s="12">
        <f>Inputs!B19</f>
        <v/>
      </c>
      <c r="D12" s="12">
        <f>Inputs!B20</f>
        <v/>
      </c>
    </row>
    <row r="13">
      <c r="A13" s="5" t="inlineStr">
        <is>
          <t>Manual-touch reduction</t>
        </is>
      </c>
      <c r="B13" s="12">
        <f>Inputs!B21</f>
        <v/>
      </c>
      <c r="C13" s="12">
        <f>Inputs!B22</f>
        <v/>
      </c>
      <c r="D13" s="12">
        <f>Inputs!B23</f>
        <v/>
      </c>
    </row>
    <row r="14">
      <c r="A14" s="5" t="inlineStr">
        <is>
          <t>Estimated exception $ released</t>
        </is>
      </c>
      <c r="B14" s="10">
        <f>B11*B12</f>
        <v/>
      </c>
      <c r="C14" s="10">
        <f>C11*C12</f>
        <v/>
      </c>
      <c r="D14" s="10">
        <f>D11*D12</f>
        <v/>
      </c>
    </row>
    <row r="15">
      <c r="A15" s="5" t="inlineStr">
        <is>
          <t>Estimated other-touch $ released</t>
        </is>
      </c>
      <c r="B15" s="10">
        <f>(B6-B11)*B13</f>
        <v/>
      </c>
      <c r="C15" s="10">
        <f>(C6-C11)*C13</f>
        <v/>
      </c>
      <c r="D15" s="10">
        <f>(D6-D11)*D13</f>
        <v/>
      </c>
    </row>
    <row r="16">
      <c r="A16" s="5" t="inlineStr">
        <is>
          <t>Optional cash lines (late + discount)</t>
        </is>
      </c>
      <c r="B16" s="10">
        <f>Inputs!B13+Inputs!B14</f>
        <v/>
      </c>
      <c r="C16" s="10">
        <f>B16</f>
        <v/>
      </c>
      <c r="D16" s="10">
        <f>B16</f>
        <v/>
      </c>
    </row>
    <row r="17">
      <c r="A17" s="9" t="inlineStr">
        <is>
          <t>Gross annual benefit (estimated)</t>
        </is>
      </c>
      <c r="B17" s="10">
        <f>B14+B15+B16</f>
        <v/>
      </c>
      <c r="C17" s="10">
        <f>C14+C15+C16</f>
        <v/>
      </c>
      <c r="D17" s="10">
        <f>D14+D15+D16</f>
        <v/>
      </c>
    </row>
    <row r="18">
      <c r="A18" s="5" t="inlineStr">
        <is>
          <t>Annual tool cost</t>
        </is>
      </c>
      <c r="B18" s="10">
        <f>Inputs!B15</f>
        <v/>
      </c>
      <c r="C18" s="10">
        <f>B18</f>
        <v/>
      </c>
      <c r="D18" s="10">
        <f>B18</f>
        <v/>
      </c>
    </row>
    <row r="19">
      <c r="A19" s="9" t="inlineStr">
        <is>
          <t>Net annual benefit before implementation</t>
        </is>
      </c>
      <c r="B19" s="10">
        <f>B17-B18</f>
        <v/>
      </c>
      <c r="C19" s="10">
        <f>C17-C18</f>
        <v/>
      </c>
      <c r="D19" s="10">
        <f>D17-D18</f>
        <v/>
      </c>
    </row>
    <row r="20">
      <c r="A20" s="5" t="inlineStr">
        <is>
          <t>Implementation cost</t>
        </is>
      </c>
      <c r="B20" s="10">
        <f>Inputs!B16</f>
        <v/>
      </c>
      <c r="C20" s="10">
        <f>B20</f>
        <v/>
      </c>
      <c r="D20" s="10">
        <f>B20</f>
        <v/>
      </c>
    </row>
    <row r="21">
      <c r="A21" s="5" t="inlineStr">
        <is>
          <t>Illustrative payback (months)</t>
        </is>
      </c>
      <c r="B21" s="5">
        <f>IF(B19&lt;=0,"n/a",ROUND(B20/B19*12,0))</f>
        <v/>
      </c>
      <c r="C21" s="5">
        <f>IF(C19&lt;=0,"n/a",ROUND(C20/C19*12,0))</f>
        <v/>
      </c>
      <c r="D21" s="5">
        <f>IF(D19&lt;=0,"n/a",ROUND(D20/D19*12,0))</f>
        <v/>
      </c>
    </row>
    <row r="22">
      <c r="A22" s="5" t="inlineStr">
        <is>
          <t>Illustrative year-1 ROI</t>
        </is>
      </c>
      <c r="B22" s="12">
        <f>IF(B20=0,"n/a",(B19-B20)/B20)</f>
        <v/>
      </c>
      <c r="C22" s="12">
        <f>IF(C20=0,"n/a",(C19-C20)/C20)</f>
        <v/>
      </c>
      <c r="D22" s="12">
        <f>IF(D20=0,"n/a",(D19-D20)/D20)</f>
        <v/>
      </c>
    </row>
    <row r="23">
      <c r="A23" s="5" t="inlineStr">
        <is>
          <t>Hours released / year (estimated)</t>
        </is>
      </c>
      <c r="B23" s="11">
        <f>B10*B12+((B6-B11)/(Inputs!B8/Inputs!B17))*B13</f>
        <v/>
      </c>
      <c r="C23" s="11">
        <f>C10*C12+((C6-C11)/(Inputs!B8/Inputs!B17))*C13</f>
        <v/>
      </c>
      <c r="D23" s="11">
        <f>D10*D12+((D6-D11)/(Inputs!B8/Inputs!B17))*D13</f>
        <v/>
      </c>
    </row>
    <row r="25">
      <c r="A25" s="13" t="inlineStr">
        <is>
          <t>Sensitivity (base): volume ±20% and exception rate ±5pp change estimated exception hours, not fate.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  <headerFooter>
    <oddHeader>&amp;LEvidence Room</oddHeader>
    <oddFooter>&amp;RNot legal or accounting advice  ·  Humans authorise payments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6" customWidth="1" min="5" max="5"/>
    <col width="14" customWidth="1" min="6" max="6"/>
    <col width="16" customWidth="1" min="7" max="7"/>
    <col width="24" customWidth="1" min="8" max="8"/>
  </cols>
  <sheetData>
    <row r="1">
      <c r="A1" s="1" t="inlineStr">
        <is>
          <t>EVIDENCE ROOM  ·  AP AGENT OS</t>
        </is>
      </c>
    </row>
    <row r="2" ht="24" customHeight="1">
      <c r="A2" s="2" t="inlineStr">
        <is>
          <t>Cost per correct outcome</t>
        </is>
      </c>
    </row>
    <row r="3">
      <c r="A3" s="3" t="inlineStr">
        <is>
          <t>Track inference and reviewer time. Activity is not value.</t>
        </is>
      </c>
    </row>
    <row r="5">
      <c r="A5" s="4" t="inlineStr">
        <is>
          <t>Agent</t>
        </is>
      </c>
      <c r="B5" s="4" t="inlineStr">
        <is>
          <t>Runs</t>
        </is>
      </c>
      <c r="C5" s="4" t="inlineStr">
        <is>
          <t>Correct</t>
        </is>
      </c>
      <c r="D5" s="4" t="inlineStr">
        <is>
          <t>Inference $</t>
        </is>
      </c>
      <c r="E5" s="4" t="inlineStr">
        <is>
          <t>Reviewer hours</t>
        </is>
      </c>
      <c r="F5" s="4" t="inlineStr">
        <is>
          <t>Reviewer $</t>
        </is>
      </c>
      <c r="G5" s="4" t="inlineStr">
        <is>
          <t>Cost / correct</t>
        </is>
      </c>
      <c r="H5" s="4" t="inlineStr">
        <is>
          <t>Notes</t>
        </is>
      </c>
    </row>
    <row r="6">
      <c r="A6" s="5" t="inlineStr">
        <is>
          <t>05 GR</t>
        </is>
      </c>
      <c r="B6" s="5" t="n">
        <v>200</v>
      </c>
      <c r="C6" s="5" t="n">
        <v>170</v>
      </c>
      <c r="D6" s="5" t="n">
        <v>12</v>
      </c>
      <c r="E6" s="5" t="n">
        <v>8</v>
      </c>
      <c r="F6" s="5">
        <f>E6*50</f>
        <v/>
      </c>
      <c r="G6" s="14">
        <f>IF(C6=0,"n/a",(D6+F6)/C6)</f>
        <v/>
      </c>
      <c r="H6" s="5" t="n"/>
    </row>
    <row r="7">
      <c r="A7" s="5" t="inlineStr">
        <is>
          <t>04 Triage</t>
        </is>
      </c>
      <c r="B7" s="5" t="n">
        <v>200</v>
      </c>
      <c r="C7" s="5" t="n">
        <v>170</v>
      </c>
      <c r="D7" s="5" t="n">
        <v>12</v>
      </c>
      <c r="E7" s="5" t="n">
        <v>8</v>
      </c>
      <c r="F7" s="5">
        <f>E7*50</f>
        <v/>
      </c>
      <c r="G7" s="14">
        <f>IF(C7=0,"n/a",(D7+F7)/C7)</f>
        <v/>
      </c>
      <c r="H7" s="5" t="n"/>
    </row>
    <row r="8">
      <c r="A8" s="5" t="inlineStr">
        <is>
          <t>02 Validation</t>
        </is>
      </c>
      <c r="B8" s="5" t="n">
        <v>200</v>
      </c>
      <c r="C8" s="5" t="n">
        <v>170</v>
      </c>
      <c r="D8" s="5" t="n">
        <v>12</v>
      </c>
      <c r="E8" s="5" t="n">
        <v>8</v>
      </c>
      <c r="F8" s="5">
        <f>E8*50</f>
        <v/>
      </c>
      <c r="G8" s="14">
        <f>IF(C8=0,"n/a",(D8+F8)/C8)</f>
        <v/>
      </c>
      <c r="H8" s="5" t="n"/>
    </row>
    <row r="9">
      <c r="A9" s="5" t="inlineStr">
        <is>
          <t>10 Anomaly</t>
        </is>
      </c>
      <c r="B9" s="5" t="n">
        <v>200</v>
      </c>
      <c r="C9" s="5" t="n">
        <v>170</v>
      </c>
      <c r="D9" s="5" t="n">
        <v>12</v>
      </c>
      <c r="E9" s="5" t="n">
        <v>8</v>
      </c>
      <c r="F9" s="5">
        <f>E9*50</f>
        <v/>
      </c>
      <c r="G9" s="14">
        <f>IF(C9=0,"n/a",(D9+F9)/C9)</f>
        <v/>
      </c>
      <c r="H9" s="5" t="n"/>
    </row>
    <row r="10">
      <c r="A10" s="5" t="inlineStr">
        <is>
          <t>12 Pay review</t>
        </is>
      </c>
      <c r="B10" s="5" t="n">
        <v>200</v>
      </c>
      <c r="C10" s="5" t="n">
        <v>170</v>
      </c>
      <c r="D10" s="5" t="n">
        <v>12</v>
      </c>
      <c r="E10" s="5" t="n">
        <v>8</v>
      </c>
      <c r="F10" s="5">
        <f>E10*50</f>
        <v/>
      </c>
      <c r="G10" s="14">
        <f>IF(C10=0,"n/a",(D10+F10)/C10)</f>
        <v/>
      </c>
      <c r="H10" s="5" t="n"/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  <headerFooter>
    <oddHeader>&amp;LEvidence Room</oddHeader>
    <oddFooter>&amp;RNot legal or accounting advice  ·  Humans authorise payments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2026-09-20T15:57:51Z</dcterms:created>
  <dcterms:modified xmlns:dcterms="http://purl.org/dc/terms/" xmlns:xsi="http://www.w3.org/2001/XMLSchema-instance" xsi:type="dcterms:W3CDTF">2026-09-20T15:57:51Z</dcterms:modified>
</cp:coreProperties>
</file>