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  <sheet xmlns:r="http://schemas.openxmlformats.org/officeDocument/2006/relationships" name="Assumptions &amp; Gover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A1F2E"/>
      <sz val="16"/>
    </font>
    <font>
      <name val="Calibri"/>
      <i val="1"/>
      <color rgb="006B7280"/>
      <sz val="10"/>
    </font>
    <font>
      <name val="Calibri"/>
      <b val="1"/>
      <color rgb="00F7F5F0"/>
      <sz val="11"/>
    </font>
    <font>
      <name val="Calibri"/>
      <b val="1"/>
      <color rgb="001A1F2E"/>
      <sz val="11"/>
    </font>
    <font>
      <b val="1"/>
      <color rgb="001A1F2E"/>
      <sz val="14"/>
    </font>
  </fonts>
  <fills count="6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FF8E7"/>
      </patternFill>
    </fill>
    <fill>
      <patternFill patternType="solid">
        <fgColor rgb="00E8E4DB"/>
      </patternFill>
    </fill>
    <fill>
      <patternFill patternType="solid">
        <fgColor rgb="00E8F2E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4" fillId="4" borderId="0" pivotButton="0" quotePrefix="0" xfId="0"/>
    <xf numFmtId="3" fontId="0" fillId="5" borderId="1" pivotButton="0" quotePrefix="0" xfId="0"/>
    <xf numFmtId="2" fontId="0" fillId="5" borderId="1" pivotButton="0" quotePrefix="0" xfId="0"/>
    <xf numFmtId="164" fontId="0" fillId="5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EVIDENCE ROOM — AP Agent Business Case Model</t>
        </is>
      </c>
    </row>
    <row r="2">
      <c r="A2" s="2" t="inlineStr">
        <is>
          <t>Illustrative planning model only. Not a savings guarantee. Validate all inputs locally.</t>
        </is>
      </c>
    </row>
    <row r="4">
      <c r="A4" s="3" t="inlineStr">
        <is>
          <t>Input</t>
        </is>
      </c>
      <c r="B4" s="3" t="inlineStr">
        <is>
          <t>Unit</t>
        </is>
      </c>
      <c r="C4" s="3" t="inlineStr">
        <is>
          <t>Conservative</t>
        </is>
      </c>
      <c r="D4" s="3" t="inlineStr">
        <is>
          <t>Base</t>
        </is>
      </c>
      <c r="E4" s="3" t="inlineStr">
        <is>
          <t>Upside</t>
        </is>
      </c>
      <c r="F4" s="3" t="inlineStr">
        <is>
          <t>Notes</t>
        </is>
      </c>
    </row>
    <row r="5">
      <c r="A5" s="4" t="inlineStr">
        <is>
          <t>Monthly invoice volume</t>
        </is>
      </c>
      <c r="B5" s="4" t="inlineStr">
        <is>
          <t>invoices</t>
        </is>
      </c>
      <c r="C5" s="5" t="n">
        <v>5000</v>
      </c>
      <c r="D5" s="5" t="n">
        <v>8000</v>
      </c>
      <c r="E5" s="5" t="n">
        <v>12000</v>
      </c>
      <c r="F5" s="4" t="inlineStr">
        <is>
          <t>Organisation-specific</t>
        </is>
      </c>
    </row>
    <row r="6">
      <c r="A6" s="4" t="inlineStr">
        <is>
          <t>AP FTE (processing + exceptions)</t>
        </is>
      </c>
      <c r="B6" s="4" t="inlineStr">
        <is>
          <t>FTE</t>
        </is>
      </c>
      <c r="C6" s="5" t="n">
        <v>8</v>
      </c>
      <c r="D6" s="5" t="n">
        <v>10</v>
      </c>
      <c r="E6" s="5" t="n">
        <v>14</v>
      </c>
      <c r="F6" s="4" t="inlineStr">
        <is>
          <t>Fully allocated AP ops</t>
        </is>
      </c>
    </row>
    <row r="7">
      <c r="A7" s="4" t="inlineStr">
        <is>
          <t>Fully loaded cost per FTE / year</t>
        </is>
      </c>
      <c r="B7" s="4" t="inlineStr">
        <is>
          <t>USD</t>
        </is>
      </c>
      <c r="C7" s="5" t="n">
        <v>75000</v>
      </c>
      <c r="D7" s="5" t="n">
        <v>90000</v>
      </c>
      <c r="E7" s="5" t="n">
        <v>110000</v>
      </c>
      <c r="F7" s="4" t="inlineStr">
        <is>
          <t>Salary + burden</t>
        </is>
      </c>
    </row>
    <row r="8">
      <c r="A8" s="4" t="inlineStr">
        <is>
          <t>Manual-touch rate</t>
        </is>
      </c>
      <c r="B8" s="4" t="inlineStr">
        <is>
          <t>%</t>
        </is>
      </c>
      <c r="C8" s="6" t="n">
        <v>0.55</v>
      </c>
      <c r="D8" s="6" t="n">
        <v>0.45</v>
      </c>
      <c r="E8" s="6" t="n">
        <v>0.35</v>
      </c>
      <c r="F8" s="4" t="inlineStr">
        <is>
          <t>Share requiring human touch</t>
        </is>
      </c>
    </row>
    <row r="9">
      <c r="A9" s="4" t="inlineStr">
        <is>
          <t>Exception rate</t>
        </is>
      </c>
      <c r="B9" s="4" t="inlineStr">
        <is>
          <t>%</t>
        </is>
      </c>
      <c r="C9" s="6" t="n">
        <v>0.25</v>
      </c>
      <c r="D9" s="6" t="n">
        <v>0.18</v>
      </c>
      <c r="E9" s="6" t="n">
        <v>0.12</v>
      </c>
      <c r="F9" s="4" t="inlineStr">
        <is>
          <t>Invoices entering exception</t>
        </is>
      </c>
    </row>
    <row r="10">
      <c r="A10" s="4" t="inlineStr">
        <is>
          <t>Avg exception resolution minutes</t>
        </is>
      </c>
      <c r="B10" s="4" t="inlineStr">
        <is>
          <t>min</t>
        </is>
      </c>
      <c r="C10" s="5" t="n">
        <v>25</v>
      </c>
      <c r="D10" s="5" t="n">
        <v>18</v>
      </c>
      <c r="E10" s="5" t="n">
        <v>12</v>
      </c>
      <c r="F10" s="4" t="inlineStr">
        <is>
          <t>Observed sample</t>
        </is>
      </c>
    </row>
    <row r="11">
      <c r="A11" s="4" t="inlineStr">
        <is>
          <t>Duplicate / rework rate</t>
        </is>
      </c>
      <c r="B11" s="4" t="inlineStr">
        <is>
          <t>%</t>
        </is>
      </c>
      <c r="C11" s="6" t="n">
        <v>0.02</v>
      </c>
      <c r="D11" s="6" t="n">
        <v>0.015</v>
      </c>
      <c r="E11" s="6" t="n">
        <v>0.01</v>
      </c>
      <c r="F11" s="4" t="inlineStr">
        <is>
          <t>Known duplicates</t>
        </is>
      </c>
    </row>
    <row r="12">
      <c r="A12" s="4" t="inlineStr">
        <is>
          <t>Late-payment cost / year</t>
        </is>
      </c>
      <c r="B12" s="4" t="inlineStr">
        <is>
          <t>USD</t>
        </is>
      </c>
      <c r="C12" s="5" t="n">
        <v>40000</v>
      </c>
      <c r="D12" s="5" t="n">
        <v>25000</v>
      </c>
      <c r="E12" s="5" t="n">
        <v>10000</v>
      </c>
      <c r="F12" s="4" t="inlineStr">
        <is>
          <t>Fees, lost discount, effort</t>
        </is>
      </c>
    </row>
    <row r="13">
      <c r="A13" s="4" t="inlineStr">
        <is>
          <t>Early-payment discount opportunity</t>
        </is>
      </c>
      <c r="B13" s="4" t="inlineStr">
        <is>
          <t>USD/yr</t>
        </is>
      </c>
      <c r="C13" s="5" t="n">
        <v>15000</v>
      </c>
      <c r="D13" s="5" t="n">
        <v>35000</v>
      </c>
      <c r="E13" s="5" t="n">
        <v>60000</v>
      </c>
      <c r="F13" s="4" t="inlineStr">
        <is>
          <t>If cycle time improves</t>
        </is>
      </c>
    </row>
    <row r="14">
      <c r="A14" s="4" t="inlineStr">
        <is>
          <t>Current cost per invoice (all-in)</t>
        </is>
      </c>
      <c r="B14" s="4" t="inlineStr">
        <is>
          <t>USD</t>
        </is>
      </c>
      <c r="C14" s="5" t="n">
        <v>12</v>
      </c>
      <c r="D14" s="5" t="n">
        <v>9</v>
      </c>
      <c r="E14" s="5" t="n">
        <v>6</v>
      </c>
      <c r="F14" s="4" t="inlineStr">
        <is>
          <t>Labour + tools + overhead</t>
        </is>
      </c>
    </row>
    <row r="15">
      <c r="A15" s="4" t="inlineStr">
        <is>
          <t>AI / tooling run-rate / year</t>
        </is>
      </c>
      <c r="B15" s="4" t="inlineStr">
        <is>
          <t>USD</t>
        </is>
      </c>
      <c r="C15" s="5" t="n">
        <v>24000</v>
      </c>
      <c r="D15" s="5" t="n">
        <v>36000</v>
      </c>
      <c r="E15" s="5" t="n">
        <v>48000</v>
      </c>
      <c r="F15" s="4" t="inlineStr">
        <is>
          <t>LLM + orchestration + OCR</t>
        </is>
      </c>
    </row>
    <row r="16">
      <c r="A16" s="4" t="inlineStr">
        <is>
          <t>Implementation cost (year 1)</t>
        </is>
      </c>
      <c r="B16" s="4" t="inlineStr">
        <is>
          <t>USD</t>
        </is>
      </c>
      <c r="C16" s="5" t="n">
        <v>40000</v>
      </c>
      <c r="D16" s="5" t="n">
        <v>60000</v>
      </c>
      <c r="E16" s="5" t="n">
        <v>90000</v>
      </c>
      <c r="F16" s="4" t="inlineStr">
        <is>
          <t>Internal + advisory</t>
        </is>
      </c>
    </row>
    <row r="17">
      <c r="A17" s="4" t="inlineStr">
        <is>
          <t>Expected touch-rate reduction</t>
        </is>
      </c>
      <c r="B17" s="4" t="inlineStr">
        <is>
          <t>% pts</t>
        </is>
      </c>
      <c r="C17" s="6" t="n">
        <v>0.08</v>
      </c>
      <c r="D17" s="6" t="n">
        <v>0.15</v>
      </c>
      <c r="E17" s="6" t="n">
        <v>0.22</v>
      </c>
      <c r="F17" s="4" t="inlineStr">
        <is>
          <t>Assumption — validate</t>
        </is>
      </c>
    </row>
    <row r="18">
      <c r="A18" s="4" t="inlineStr">
        <is>
          <t>Expected exception-time reduction</t>
        </is>
      </c>
      <c r="B18" s="4" t="inlineStr">
        <is>
          <t>%</t>
        </is>
      </c>
      <c r="C18" s="6" t="n">
        <v>0.15</v>
      </c>
      <c r="D18" s="6" t="n">
        <v>0.3</v>
      </c>
      <c r="E18" s="6" t="n">
        <v>0.45</v>
      </c>
      <c r="F18" s="4" t="inlineStr">
        <is>
          <t>Assumption — validate</t>
        </is>
      </c>
    </row>
    <row r="19">
      <c r="A19" s="4" t="inlineStr">
        <is>
          <t>Evidence Room toolkit cost</t>
        </is>
      </c>
      <c r="B19" s="4" t="inlineStr">
        <is>
          <t>USD</t>
        </is>
      </c>
      <c r="C19" s="5" t="n">
        <v>199</v>
      </c>
      <c r="D19" s="5" t="n">
        <v>499</v>
      </c>
      <c r="E19" s="5" t="n">
        <v>2500</v>
      </c>
      <c r="F19" s="4" t="inlineStr">
        <is>
          <t>Pro / Team / Blueprint</t>
        </is>
      </c>
    </row>
    <row r="22">
      <c r="A22" s="7" t="inlineStr">
        <is>
          <t>OUTPUTS (formulas — illustrative)</t>
        </is>
      </c>
    </row>
    <row r="23">
      <c r="A23" s="3" t="inlineStr">
        <is>
          <t>Output</t>
        </is>
      </c>
      <c r="B23" s="3" t="inlineStr">
        <is>
          <t>Conservative</t>
        </is>
      </c>
      <c r="C23" s="3" t="inlineStr">
        <is>
          <t>Base</t>
        </is>
      </c>
      <c r="D23" s="3" t="inlineStr">
        <is>
          <t>Upside</t>
        </is>
      </c>
      <c r="E23" s="3" t="inlineStr">
        <is>
          <t>Definition</t>
        </is>
      </c>
    </row>
    <row r="24">
      <c r="A24" s="4" t="inlineStr">
        <is>
          <t>Baseline annual AP labour cost</t>
        </is>
      </c>
      <c r="B24" s="8">
        <f>C6*C7</f>
        <v/>
      </c>
      <c r="C24" s="8">
        <f>D6*D7</f>
        <v/>
      </c>
      <c r="D24" s="8">
        <f>E6*E7</f>
        <v/>
      </c>
      <c r="E24" s="4" t="inlineStr">
        <is>
          <t>FTE × fully loaded cost</t>
        </is>
      </c>
    </row>
    <row r="25">
      <c r="A25" s="4" t="inlineStr">
        <is>
          <t>Baseline annual processing cost (volume × cost/invoice × 12)</t>
        </is>
      </c>
      <c r="B25" s="8">
        <f>C5*C14*12</f>
        <v/>
      </c>
      <c r="C25" s="8">
        <f>D5*D14*12</f>
        <v/>
      </c>
      <c r="D25" s="8">
        <f>E5*E14*12</f>
        <v/>
      </c>
      <c r="E25" s="4" t="inlineStr">
        <is>
          <t>Alternative volume-based view</t>
        </is>
      </c>
    </row>
    <row r="26">
      <c r="A26" s="4" t="inlineStr">
        <is>
          <t>Exception hours / year (approx)</t>
        </is>
      </c>
      <c r="B26" s="8">
        <f>C5*12*C9*(C10/60)</f>
        <v/>
      </c>
      <c r="C26" s="8">
        <f>D5*12*D9*(D10/60)</f>
        <v/>
      </c>
      <c r="D26" s="8">
        <f>E5*12*E9*(E10/60)</f>
        <v/>
      </c>
      <c r="E26" s="4" t="inlineStr">
        <is>
          <t>Volume × exception rate × minutes</t>
        </is>
      </c>
    </row>
    <row r="27">
      <c r="A27" s="4" t="inlineStr">
        <is>
          <t>Exception labour $ / year</t>
        </is>
      </c>
      <c r="B27" s="8">
        <f>B26*(C7/1800)</f>
        <v/>
      </c>
      <c r="C27" s="8">
        <f>C26*(D7/1800)</f>
        <v/>
      </c>
      <c r="D27" s="8">
        <f>D26*(E7/1800)</f>
        <v/>
      </c>
      <c r="E27" s="4" t="inlineStr">
        <is>
          <t>Hours × hourly loaded cost (~1800 hrs/FTE)</t>
        </is>
      </c>
    </row>
    <row r="28">
      <c r="A28" s="4" t="inlineStr">
        <is>
          <t>Estimated capacity hours released / year</t>
        </is>
      </c>
      <c r="B28" s="8">
        <f>B26*C18</f>
        <v/>
      </c>
      <c r="C28" s="8">
        <f>C26*D18</f>
        <v/>
      </c>
      <c r="D28" s="8">
        <f>D26*E18</f>
        <v/>
      </c>
      <c r="E28" s="4" t="inlineStr">
        <is>
          <t>Exception hours × time reduction assumption</t>
        </is>
      </c>
    </row>
    <row r="29">
      <c r="A29" s="4" t="inlineStr">
        <is>
          <t>Estimated labour $ released (capacity, not automatic cash)</t>
        </is>
      </c>
      <c r="B29" s="8">
        <f>B28*(C7/1800)</f>
        <v/>
      </c>
      <c r="C29" s="8">
        <f>C28*(D7/1800)</f>
        <v/>
      </c>
      <c r="D29" s="8">
        <f>D28*(E7/1800)</f>
        <v/>
      </c>
      <c r="E29" s="4" t="inlineStr">
        <is>
          <t>Treat as capacity unless roles redesigned</t>
        </is>
      </c>
    </row>
    <row r="30">
      <c r="A30" s="4" t="inlineStr">
        <is>
          <t>Working-capital / discount / late-pay upside (partial)</t>
        </is>
      </c>
      <c r="B30" s="8">
        <f>C12*0.25+C13*0.25</f>
        <v/>
      </c>
      <c r="C30" s="8">
        <f>D12*0.5+D13*0.5</f>
        <v/>
      </c>
      <c r="D30" s="8">
        <f>E12*0.75+E13*0.75</f>
        <v/>
      </c>
      <c r="E30" s="4" t="inlineStr">
        <is>
          <t>Haircut applied — do not claim full capture</t>
        </is>
      </c>
    </row>
    <row r="31">
      <c r="A31" s="4" t="inlineStr">
        <is>
          <t>Gross annual benefit (illustrative)</t>
        </is>
      </c>
      <c r="B31" s="8">
        <f>B29+B30</f>
        <v/>
      </c>
      <c r="C31" s="8">
        <f>C29+C30</f>
        <v/>
      </c>
      <c r="D31" s="8">
        <f>D29+D30</f>
        <v/>
      </c>
      <c r="E31" s="4" t="inlineStr">
        <is>
          <t>Capacity $ + partial WC/discount</t>
        </is>
      </c>
    </row>
    <row r="32">
      <c r="A32" s="4" t="inlineStr">
        <is>
          <t>Annual run cost (AI/tools)</t>
        </is>
      </c>
      <c r="B32" s="8">
        <f>C15</f>
        <v/>
      </c>
      <c r="C32" s="8">
        <f>D15</f>
        <v/>
      </c>
      <c r="D32" s="8">
        <f>E15</f>
        <v/>
      </c>
      <c r="E32" s="4" t="inlineStr">
        <is>
          <t>Recurring</t>
        </is>
      </c>
    </row>
    <row r="33">
      <c r="A33" s="4" t="inlineStr">
        <is>
          <t>Year-1 investment (impl + toolkit)</t>
        </is>
      </c>
      <c r="B33" s="8">
        <f>C16+C19</f>
        <v/>
      </c>
      <c r="C33" s="8">
        <f>D16+D19</f>
        <v/>
      </c>
      <c r="D33" s="8">
        <f>E16+E19</f>
        <v/>
      </c>
      <c r="E33" s="4" t="inlineStr">
        <is>
          <t>One-off + product</t>
        </is>
      </c>
    </row>
    <row r="34">
      <c r="A34" s="4" t="inlineStr">
        <is>
          <t>Year-1 net (illustrative)</t>
        </is>
      </c>
      <c r="B34" s="8">
        <f>B31-B32-B33</f>
        <v/>
      </c>
      <c r="C34" s="8">
        <f>C31-C32-C33</f>
        <v/>
      </c>
      <c r="D34" s="8">
        <f>D31-D32-D33</f>
        <v/>
      </c>
      <c r="E34" s="4" t="inlineStr">
        <is>
          <t>Benefit − run − investment</t>
        </is>
      </c>
    </row>
    <row r="35">
      <c r="A35" s="4" t="inlineStr">
        <is>
          <t>Simple payback (years) if net run positive</t>
        </is>
      </c>
      <c r="B35" s="9">
        <f>IF((B31-B32)&lt;=0,"n/m",B33/(B31-B32))</f>
        <v/>
      </c>
      <c r="C35" s="9">
        <f>IF((C31-C32)&lt;=0,"n/m",C33/(C31-C32))</f>
        <v/>
      </c>
      <c r="D35" s="9">
        <f>IF((D31-D32)&lt;=0,"n/m",D33/(D31-D32))</f>
        <v/>
      </c>
      <c r="E35" s="4" t="inlineStr">
        <is>
          <t>Investment / (benefit − run)</t>
        </is>
      </c>
    </row>
    <row r="36">
      <c r="A36" s="4" t="inlineStr">
        <is>
          <t>Year-1 ROI (illustrative)</t>
        </is>
      </c>
      <c r="B36" s="10">
        <f>IF(B33=0,"n/m",B34/B33)</f>
        <v/>
      </c>
      <c r="C36" s="10">
        <f>IF(C33=0,"n/m",C34/C33)</f>
        <v/>
      </c>
      <c r="D36" s="10">
        <f>IF(D33=0,"n/m",D34/D33)</f>
        <v/>
      </c>
      <c r="E36" s="4" t="inlineStr">
        <is>
          <t>Net / investment</t>
        </is>
      </c>
    </row>
    <row r="38">
      <c r="A38" t="inlineStr">
        <is>
          <t>SENSITIVITY NOTES</t>
        </is>
      </c>
    </row>
    <row r="39">
      <c r="A39" t="inlineStr">
        <is>
          <t>1. Capacity released ≠ cash saved unless headcount, overtime, or backlog is actually reduced.</t>
        </is>
      </c>
    </row>
    <row r="40">
      <c r="A40" t="inlineStr">
        <is>
          <t>2. Early-payment discounts require payment-process and cash-policy changes beyond agents.</t>
        </is>
      </c>
    </row>
    <row r="41">
      <c r="A41" t="inlineStr">
        <is>
          <t>3. Re-run after shadow-mode with measured STP, exception time, and accuracy — replace assumptions.</t>
        </is>
      </c>
    </row>
    <row r="42">
      <c r="A42" t="inlineStr">
        <is>
          <t>4. Evidence Room sells the operating system toolkit; platform/ERP costs are separate.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1" t="inlineStr">
        <is>
          <t>Model governance</t>
        </is>
      </c>
    </row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Model owner</t>
        </is>
      </c>
      <c r="B4" s="4" t="inlineStr">
        <is>
          <t>Finance Transformation / AP Lead</t>
        </is>
      </c>
    </row>
    <row r="5">
      <c r="A5" s="4" t="inlineStr">
        <is>
          <t>Review cadence</t>
        </is>
      </c>
      <c r="B5" s="4" t="inlineStr">
        <is>
          <t>Monthly during pilot; quarterly thereafter</t>
        </is>
      </c>
    </row>
    <row r="6">
      <c r="A6" s="4" t="inlineStr">
        <is>
          <t>Evidence standard</t>
        </is>
      </c>
      <c r="B6" s="4" t="inlineStr">
        <is>
          <t>Only mark savings Validated when measured against baseline with control intact</t>
        </is>
      </c>
    </row>
    <row r="7">
      <c r="A7" s="4" t="inlineStr">
        <is>
          <t>Forbidden claims</t>
        </is>
      </c>
      <c r="B7" s="4" t="inlineStr">
        <is>
          <t>Guaranteed ROI, fraud-proofing, autonomous payment safety, regulatory compliance</t>
        </is>
      </c>
    </row>
    <row r="8">
      <c r="A8" s="4" t="inlineStr">
        <is>
          <t>Scenario use</t>
        </is>
      </c>
      <c r="B8" s="4" t="inlineStr">
        <is>
          <t>Conservative for steering committees; Upside for stretch planning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