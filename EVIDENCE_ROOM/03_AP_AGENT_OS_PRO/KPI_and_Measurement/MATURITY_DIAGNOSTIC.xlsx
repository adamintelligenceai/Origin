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" sheetId="1" state="visible" r:id="rId1"/>
    <sheet xmlns:r="http://schemas.openxmlformats.org/officeDocument/2006/relationships" name="Opportunity_heatmap" sheetId="2" state="visible" r:id="rId2"/>
    <sheet xmlns:r="http://schemas.openxmlformats.org/officeDocument/2006/relationships" name="Baseline_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8C7349"/>
      <sz val="10"/>
    </font>
    <font>
      <name val="Calibri"/>
      <b val="1"/>
      <color rgb="00121614"/>
      <sz val="18"/>
    </font>
    <font>
      <name val="Calibri"/>
      <color rgb="004A524C"/>
      <sz val="11"/>
    </font>
    <font>
      <name val="Calibri"/>
      <b val="1"/>
      <color rgb="00F3EFE6"/>
      <sz val="10"/>
    </font>
    <font>
      <name val="Calibri"/>
      <color rgb="00121614"/>
      <sz val="10"/>
    </font>
    <font>
      <name val="Calibri"/>
      <b val="1"/>
      <color rgb="00121614"/>
      <sz val="11"/>
    </font>
    <font>
      <name val="Calibri"/>
      <b val="1"/>
      <color rgb="008C7349"/>
      <sz val="14"/>
    </font>
  </fonts>
  <fills count="5">
    <fill>
      <patternFill/>
    </fill>
    <fill>
      <patternFill patternType="gray125"/>
    </fill>
    <fill>
      <patternFill patternType="solid">
        <fgColor rgb="00121614"/>
      </patternFill>
    </fill>
    <fill>
      <patternFill patternType="solid">
        <fgColor rgb="00FFF4E0"/>
      </patternFill>
    </fill>
    <fill>
      <patternFill patternType="solid">
        <fgColor rgb="00E6DFD2"/>
      </patternFill>
    </fill>
  </fills>
  <borders count="2">
    <border>
      <left/>
      <right/>
      <top/>
      <bottom/>
      <diagonal/>
    </border>
    <border>
      <left style="thin">
        <color rgb="00C9C2B4"/>
      </left>
      <right style="thin">
        <color rgb="00C9C2B4"/>
      </right>
      <top style="thin">
        <color rgb="00C9C2B4"/>
      </top>
      <bottom style="thin">
        <color rgb="00C9C2B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8" customWidth="1" min="3" max="3"/>
    <col width="14" customWidth="1" min="4" max="4"/>
    <col width="32" customWidth="1" min="5" max="5"/>
    <col width="18" customWidth="1" min="6" max="6"/>
    <col width="12" customWidth="1" min="7" max="7"/>
  </cols>
  <sheetData>
    <row r="1">
      <c r="A1" s="1" t="inlineStr">
        <is>
          <t>EVIDENCE ROOM  ·  AP AGENT OS</t>
        </is>
      </c>
    </row>
    <row r="2" ht="24" customHeight="1">
      <c r="A2" s="2" t="inlineStr">
        <is>
          <t>AP AI Readiness Diagnostic</t>
        </is>
      </c>
    </row>
    <row r="3">
      <c r="A3" s="3" t="inlineStr">
        <is>
          <t>Score 0–3 against current evidenced practice. Readiness = raw/108×100.</t>
        </is>
      </c>
    </row>
    <row r="5">
      <c r="A5" s="4" t="inlineStr">
        <is>
          <t>ID</t>
        </is>
      </c>
      <c r="B5" s="4" t="inlineStr">
        <is>
          <t>Domain</t>
        </is>
      </c>
      <c r="C5" s="4" t="inlineStr">
        <is>
          <t>Question (short)</t>
        </is>
      </c>
      <c r="D5" s="4" t="inlineStr">
        <is>
          <t>Score 0-3</t>
        </is>
      </c>
      <c r="E5" s="4" t="inlineStr">
        <is>
          <t>Evidence / note</t>
        </is>
      </c>
      <c r="F5" s="4" t="inlineStr">
        <is>
          <t>Owner</t>
        </is>
      </c>
      <c r="G5" s="4" t="inlineStr">
        <is>
          <t>Gap</t>
        </is>
      </c>
    </row>
    <row r="6">
      <c r="A6" s="5" t="inlineStr">
        <is>
          <t>A1</t>
        </is>
      </c>
      <c r="B6" s="5" t="inlineStr">
        <is>
          <t>Volume, cost and labour</t>
        </is>
      </c>
      <c r="C6" s="5" t="inlineStr">
        <is>
          <t>Volume by entity and channel known</t>
        </is>
      </c>
      <c r="D6" s="6" t="n">
        <v>1</v>
      </c>
      <c r="E6" s="5" t="inlineStr"/>
      <c r="F6" s="5" t="inlineStr"/>
      <c r="G6" s="5">
        <f>IF(D6&lt;2,"Gap","")</f>
        <v/>
      </c>
    </row>
    <row r="7">
      <c r="A7" s="7" t="inlineStr">
        <is>
          <t>A2</t>
        </is>
      </c>
      <c r="B7" s="7" t="inlineStr">
        <is>
          <t>Volume, cost and labour</t>
        </is>
      </c>
      <c r="C7" s="7" t="inlineStr">
        <is>
          <t>All-in cost per invoice known</t>
        </is>
      </c>
      <c r="D7" s="6" t="n">
        <v>1</v>
      </c>
      <c r="E7" s="7" t="inlineStr"/>
      <c r="F7" s="7" t="inlineStr"/>
      <c r="G7" s="7">
        <f>IF(D7&lt;2,"Gap","")</f>
        <v/>
      </c>
    </row>
    <row r="8">
      <c r="A8" s="5" t="inlineStr">
        <is>
          <t>A3</t>
        </is>
      </c>
      <c r="B8" s="5" t="inlineStr">
        <is>
          <t>Volume, cost and labour</t>
        </is>
      </c>
      <c r="C8" s="5" t="inlineStr">
        <is>
          <t>AP FTE and fully loaded cost known</t>
        </is>
      </c>
      <c r="D8" s="6" t="n">
        <v>1</v>
      </c>
      <c r="E8" s="5" t="inlineStr"/>
      <c r="F8" s="5" t="inlineStr"/>
      <c r="G8" s="5">
        <f>IF(D8&lt;2,"Gap","")</f>
        <v/>
      </c>
    </row>
    <row r="9">
      <c r="A9" s="7" t="inlineStr">
        <is>
          <t>A4</t>
        </is>
      </c>
      <c r="B9" s="7" t="inlineStr">
        <is>
          <t>Volume, cost and labour</t>
        </is>
      </c>
      <c r="C9" s="7" t="inlineStr">
        <is>
          <t>Manual-touch percentage known</t>
        </is>
      </c>
      <c r="D9" s="6" t="n">
        <v>1</v>
      </c>
      <c r="E9" s="7" t="inlineStr"/>
      <c r="F9" s="7" t="inlineStr"/>
      <c r="G9" s="7">
        <f>IF(D9&lt;2,"Gap","")</f>
        <v/>
      </c>
    </row>
    <row r="10">
      <c r="A10" s="5" t="inlineStr">
        <is>
          <t>A5</t>
        </is>
      </c>
      <c r="B10" s="5" t="inlineStr">
        <is>
          <t>Volume, cost and labour</t>
        </is>
      </c>
      <c r="C10" s="5" t="inlineStr">
        <is>
          <t>Cycle time receipt to ready-to-pay known</t>
        </is>
      </c>
      <c r="D10" s="6" t="n">
        <v>1</v>
      </c>
      <c r="E10" s="5" t="inlineStr"/>
      <c r="F10" s="5" t="inlineStr"/>
      <c r="G10" s="5">
        <f>IF(D10&lt;2,"Gap","")</f>
        <v/>
      </c>
    </row>
    <row r="11">
      <c r="A11" s="7" t="inlineStr">
        <is>
          <t>A6</t>
        </is>
      </c>
      <c r="B11" s="7" t="inlineStr">
        <is>
          <t>Volume, cost and labour</t>
        </is>
      </c>
      <c r="C11" s="7" t="inlineStr">
        <is>
          <t>Last quarter volumes in one day</t>
        </is>
      </c>
      <c r="D11" s="6" t="n">
        <v>1</v>
      </c>
      <c r="E11" s="7" t="inlineStr"/>
      <c r="F11" s="7" t="inlineStr"/>
      <c r="G11" s="7">
        <f>IF(D11&lt;2,"Gap","")</f>
        <v/>
      </c>
    </row>
    <row r="12">
      <c r="A12" s="5" t="inlineStr">
        <is>
          <t>B1</t>
        </is>
      </c>
      <c r="B12" s="5" t="inlineStr">
        <is>
          <t>Exceptions and matching</t>
        </is>
      </c>
      <c r="C12" s="5" t="inlineStr">
        <is>
          <t>Defined exception taxonomy in use</t>
        </is>
      </c>
      <c r="D12" s="6" t="n">
        <v>1</v>
      </c>
      <c r="E12" s="5" t="inlineStr"/>
      <c r="F12" s="5" t="inlineStr"/>
      <c r="G12" s="5">
        <f>IF(D12&lt;2,"Gap","")</f>
        <v/>
      </c>
    </row>
    <row r="13">
      <c r="A13" s="7" t="inlineStr">
        <is>
          <t>B2</t>
        </is>
      </c>
      <c r="B13" s="7" t="inlineStr">
        <is>
          <t>Exceptions and matching</t>
        </is>
      </c>
      <c r="C13" s="7" t="inlineStr">
        <is>
          <t>Exception rate and top five codes known</t>
        </is>
      </c>
      <c r="D13" s="6" t="n">
        <v>1</v>
      </c>
      <c r="E13" s="7" t="inlineStr"/>
      <c r="F13" s="7" t="inlineStr"/>
      <c r="G13" s="7">
        <f>IF(D13&lt;2,"Gap","")</f>
        <v/>
      </c>
    </row>
    <row r="14">
      <c r="A14" s="5" t="inlineStr">
        <is>
          <t>B3</t>
        </is>
      </c>
      <c r="B14" s="5" t="inlineStr">
        <is>
          <t>Exceptions and matching</t>
        </is>
      </c>
      <c r="C14" s="5" t="inlineStr">
        <is>
          <t>2/3-way match and tolerances documented</t>
        </is>
      </c>
      <c r="D14" s="6" t="n">
        <v>1</v>
      </c>
      <c r="E14" s="5" t="inlineStr"/>
      <c r="F14" s="5" t="inlineStr"/>
      <c r="G14" s="5">
        <f>IF(D14&lt;2,"Gap","")</f>
        <v/>
      </c>
    </row>
    <row r="15">
      <c r="A15" s="7" t="inlineStr">
        <is>
          <t>B4</t>
        </is>
      </c>
      <c r="B15" s="7" t="inlineStr">
        <is>
          <t>Exceptions and matching</t>
        </is>
      </c>
      <c r="C15" s="7" t="inlineStr">
        <is>
          <t>Price / qty / receipt failures separated</t>
        </is>
      </c>
      <c r="D15" s="6" t="n">
        <v>1</v>
      </c>
      <c r="E15" s="7" t="inlineStr"/>
      <c r="F15" s="7" t="inlineStr"/>
      <c r="G15" s="7">
        <f>IF(D15&lt;2,"Gap","")</f>
        <v/>
      </c>
    </row>
    <row r="16">
      <c r="A16" s="5" t="inlineStr">
        <is>
          <t>B5</t>
        </is>
      </c>
      <c r="B16" s="5" t="inlineStr">
        <is>
          <t>Exceptions and matching</t>
        </is>
      </c>
      <c r="C16" s="5" t="inlineStr">
        <is>
          <t>Repeat exceptions measured</t>
        </is>
      </c>
      <c r="D16" s="6" t="n">
        <v>1</v>
      </c>
      <c r="E16" s="5" t="inlineStr"/>
      <c r="F16" s="5" t="inlineStr"/>
      <c r="G16" s="5">
        <f>IF(D16&lt;2,"Gap","")</f>
        <v/>
      </c>
    </row>
    <row r="17">
      <c r="A17" s="7" t="inlineStr">
        <is>
          <t>B6</t>
        </is>
      </c>
      <c r="B17" s="7" t="inlineStr">
        <is>
          <t>Exceptions and matching</t>
        </is>
      </c>
      <c r="C17" s="7" t="inlineStr">
        <is>
          <t>Duplicate rules documented</t>
        </is>
      </c>
      <c r="D17" s="6" t="n">
        <v>1</v>
      </c>
      <c r="E17" s="7" t="inlineStr"/>
      <c r="F17" s="7" t="inlineStr"/>
      <c r="G17" s="7">
        <f>IF(D17&lt;2,"Gap","")</f>
        <v/>
      </c>
    </row>
    <row r="18">
      <c r="A18" s="5" t="inlineStr">
        <is>
          <t>C1</t>
        </is>
      </c>
      <c r="B18" s="5" t="inlineStr">
        <is>
          <t>Process and ownership</t>
        </is>
      </c>
      <c r="C18" s="5" t="inlineStr">
        <is>
          <t>Current-state map &lt; 12 months</t>
        </is>
      </c>
      <c r="D18" s="6" t="n">
        <v>1</v>
      </c>
      <c r="E18" s="5" t="inlineStr"/>
      <c r="F18" s="5" t="inlineStr"/>
      <c r="G18" s="5">
        <f>IF(D18&lt;2,"Gap","")</f>
        <v/>
      </c>
    </row>
    <row r="19">
      <c r="A19" s="7" t="inlineStr">
        <is>
          <t>C2</t>
        </is>
      </c>
      <c r="B19" s="7" t="inlineStr">
        <is>
          <t>Process and ownership</t>
        </is>
      </c>
      <c r="C19" s="7" t="inlineStr">
        <is>
          <t>Named process owners per variant</t>
        </is>
      </c>
      <c r="D19" s="6" t="n">
        <v>1</v>
      </c>
      <c r="E19" s="7" t="inlineStr"/>
      <c r="F19" s="7" t="inlineStr"/>
      <c r="G19" s="7">
        <f>IF(D19&lt;2,"Gap","")</f>
        <v/>
      </c>
    </row>
    <row r="20">
      <c r="A20" s="5" t="inlineStr">
        <is>
          <t>C3</t>
        </is>
      </c>
      <c r="B20" s="5" t="inlineStr">
        <is>
          <t>Process and ownership</t>
        </is>
      </c>
      <c r="C20" s="5" t="inlineStr">
        <is>
          <t>RACI for GR, coding, approval, queries, pay</t>
        </is>
      </c>
      <c r="D20" s="6" t="n">
        <v>1</v>
      </c>
      <c r="E20" s="5" t="inlineStr"/>
      <c r="F20" s="5" t="inlineStr"/>
      <c r="G20" s="5">
        <f>IF(D20&lt;2,"Gap","")</f>
        <v/>
      </c>
    </row>
    <row r="21">
      <c r="A21" s="7" t="inlineStr">
        <is>
          <t>C4</t>
        </is>
      </c>
      <c r="B21" s="7" t="inlineStr">
        <is>
          <t>Process and ownership</t>
        </is>
      </c>
      <c r="C21" s="7" t="inlineStr">
        <is>
          <t>DOA machine-readable</t>
        </is>
      </c>
      <c r="D21" s="6" t="n">
        <v>1</v>
      </c>
      <c r="E21" s="7" t="inlineStr"/>
      <c r="F21" s="7" t="inlineStr"/>
      <c r="G21" s="7">
        <f>IF(D21&lt;2,"Gap","")</f>
        <v/>
      </c>
    </row>
    <row r="22">
      <c r="A22" s="5" t="inlineStr">
        <is>
          <t>C5</t>
        </is>
      </c>
      <c r="B22" s="5" t="inlineStr">
        <is>
          <t>Process and ownership</t>
        </is>
      </c>
      <c r="C22" s="5" t="inlineStr">
        <is>
          <t>SOP vs practice reconciled</t>
        </is>
      </c>
      <c r="D22" s="6" t="n">
        <v>1</v>
      </c>
      <c r="E22" s="5" t="inlineStr"/>
      <c r="F22" s="5" t="inlineStr"/>
      <c r="G22" s="5">
        <f>IF(D22&lt;2,"Gap","")</f>
        <v/>
      </c>
    </row>
    <row r="23">
      <c r="A23" s="7" t="inlineStr">
        <is>
          <t>C6</t>
        </is>
      </c>
      <c r="B23" s="7" t="inlineStr">
        <is>
          <t>Process and ownership</t>
        </is>
      </c>
      <c r="C23" s="7" t="inlineStr">
        <is>
          <t>New analyst can train from artefacts</t>
        </is>
      </c>
      <c r="D23" s="6" t="n">
        <v>1</v>
      </c>
      <c r="E23" s="7" t="inlineStr"/>
      <c r="F23" s="7" t="inlineStr"/>
      <c r="G23" s="7">
        <f>IF(D23&lt;2,"Gap","")</f>
        <v/>
      </c>
    </row>
    <row r="24">
      <c r="A24" s="5" t="inlineStr">
        <is>
          <t>D1</t>
        </is>
      </c>
      <c r="B24" s="5" t="inlineStr">
        <is>
          <t>Data and systems</t>
        </is>
      </c>
      <c r="C24" s="5" t="inlineStr">
        <is>
          <t>Header/line export with stable IDs</t>
        </is>
      </c>
      <c r="D24" s="6" t="n">
        <v>1</v>
      </c>
      <c r="E24" s="5" t="inlineStr"/>
      <c r="F24" s="5" t="inlineStr"/>
      <c r="G24" s="5">
        <f>IF(D24&lt;2,"Gap","")</f>
        <v/>
      </c>
    </row>
    <row r="25">
      <c r="A25" s="7" t="inlineStr">
        <is>
          <t>D2</t>
        </is>
      </c>
      <c r="B25" s="7" t="inlineStr">
        <is>
          <t>Data and systems</t>
        </is>
      </c>
      <c r="C25" s="7" t="inlineStr">
        <is>
          <t>PO/GR/vendor/approvals joinable</t>
        </is>
      </c>
      <c r="D25" s="6" t="n">
        <v>1</v>
      </c>
      <c r="E25" s="7" t="inlineStr"/>
      <c r="F25" s="7" t="inlineStr"/>
      <c r="G25" s="7">
        <f>IF(D25&lt;2,"Gap","")</f>
        <v/>
      </c>
    </row>
    <row r="26">
      <c r="A26" s="5" t="inlineStr">
        <is>
          <t>D3</t>
        </is>
      </c>
      <c r="B26" s="5" t="inlineStr">
        <is>
          <t>Data and systems</t>
        </is>
      </c>
      <c r="C26" s="5" t="inlineStr">
        <is>
          <t>Vendor bank-change history available</t>
        </is>
      </c>
      <c r="D26" s="6" t="n">
        <v>1</v>
      </c>
      <c r="E26" s="5" t="inlineStr"/>
      <c r="F26" s="5" t="inlineStr"/>
      <c r="G26" s="5">
        <f>IF(D26&lt;2,"Gap","")</f>
        <v/>
      </c>
    </row>
    <row r="27">
      <c r="A27" s="7" t="inlineStr">
        <is>
          <t>D4</t>
        </is>
      </c>
      <c r="B27" s="7" t="inlineStr">
        <is>
          <t>Data and systems</t>
        </is>
      </c>
      <c r="C27" s="7" t="inlineStr">
        <is>
          <t>Entity/tax/currency reliable</t>
        </is>
      </c>
      <c r="D27" s="6" t="n">
        <v>1</v>
      </c>
      <c r="E27" s="7" t="inlineStr"/>
      <c r="F27" s="7" t="inlineStr"/>
      <c r="G27" s="7">
        <f>IF(D27&lt;2,"Gap","")</f>
        <v/>
      </c>
    </row>
    <row r="28">
      <c r="A28" s="5" t="inlineStr">
        <is>
          <t>D5</t>
        </is>
      </c>
      <c r="B28" s="5" t="inlineStr">
        <is>
          <t>Data and systems</t>
        </is>
      </c>
      <c r="C28" s="5" t="inlineStr">
        <is>
          <t>AI/tools inventory including shadow IT</t>
        </is>
      </c>
      <c r="D28" s="6" t="n">
        <v>1</v>
      </c>
      <c r="E28" s="5" t="inlineStr"/>
      <c r="F28" s="5" t="inlineStr"/>
      <c r="G28" s="5">
        <f>IF(D28&lt;2,"Gap","")</f>
        <v/>
      </c>
    </row>
    <row r="29">
      <c r="A29" s="7" t="inlineStr">
        <is>
          <t>D6</t>
        </is>
      </c>
      <c r="B29" s="7" t="inlineStr">
        <is>
          <t>Data and systems</t>
        </is>
      </c>
      <c r="C29" s="7" t="inlineStr">
        <is>
          <t>Historical test environment exists</t>
        </is>
      </c>
      <c r="D29" s="6" t="n">
        <v>1</v>
      </c>
      <c r="E29" s="7" t="inlineStr"/>
      <c r="F29" s="7" t="inlineStr"/>
      <c r="G29" s="7">
        <f>IF(D29&lt;2,"Gap","")</f>
        <v/>
      </c>
    </row>
    <row r="30">
      <c r="A30" s="5" t="inlineStr">
        <is>
          <t>E1</t>
        </is>
      </c>
      <c r="B30" s="5" t="inlineStr">
        <is>
          <t>Controls and evidence</t>
        </is>
      </c>
      <c r="C30" s="5" t="inlineStr">
        <is>
          <t>Written rule: humans authorise payments</t>
        </is>
      </c>
      <c r="D30" s="6" t="n">
        <v>1</v>
      </c>
      <c r="E30" s="5" t="inlineStr"/>
      <c r="F30" s="5" t="inlineStr"/>
      <c r="G30" s="5">
        <f>IF(D30&lt;2,"Gap","")</f>
        <v/>
      </c>
    </row>
    <row r="31">
      <c r="A31" s="7" t="inlineStr">
        <is>
          <t>E2</t>
        </is>
      </c>
      <c r="B31" s="7" t="inlineStr">
        <is>
          <t>Controls and evidence</t>
        </is>
      </c>
      <c r="C31" s="7" t="inlineStr">
        <is>
          <t>Overrides logged</t>
        </is>
      </c>
      <c r="D31" s="6" t="n">
        <v>1</v>
      </c>
      <c r="E31" s="7" t="inlineStr"/>
      <c r="F31" s="7" t="inlineStr"/>
      <c r="G31" s="7">
        <f>IF(D31&lt;2,"Gap","")</f>
        <v/>
      </c>
    </row>
    <row r="32">
      <c r="A32" s="5" t="inlineStr">
        <is>
          <t>E3</t>
        </is>
      </c>
      <c r="B32" s="5" t="inlineStr">
        <is>
          <t>Controls and evidence</t>
        </is>
      </c>
      <c r="C32" s="5" t="inlineStr">
        <is>
          <t>SoD for agent operators vs releasers</t>
        </is>
      </c>
      <c r="D32" s="6" t="n">
        <v>1</v>
      </c>
      <c r="E32" s="5" t="inlineStr"/>
      <c r="F32" s="5" t="inlineStr"/>
      <c r="G32" s="5">
        <f>IF(D32&lt;2,"Gap","")</f>
        <v/>
      </c>
    </row>
    <row r="33">
      <c r="A33" s="7" t="inlineStr">
        <is>
          <t>E4</t>
        </is>
      </c>
      <c r="B33" s="7" t="inlineStr">
        <is>
          <t>Controls and evidence</t>
        </is>
      </c>
      <c r="C33" s="7" t="inlineStr">
        <is>
          <t>Retention rule for model output</t>
        </is>
      </c>
      <c r="D33" s="6" t="n">
        <v>1</v>
      </c>
      <c r="E33" s="7" t="inlineStr"/>
      <c r="F33" s="7" t="inlineStr"/>
      <c r="G33" s="7">
        <f>IF(D33&lt;2,"Gap","")</f>
        <v/>
      </c>
    </row>
    <row r="34">
      <c r="A34" s="5" t="inlineStr">
        <is>
          <t>E5</t>
        </is>
      </c>
      <c r="B34" s="5" t="inlineStr">
        <is>
          <t>Controls and evidence</t>
        </is>
      </c>
      <c r="C34" s="5" t="inlineStr">
        <is>
          <t>Incident path for bad supplier draft</t>
        </is>
      </c>
      <c r="D34" s="6" t="n">
        <v>1</v>
      </c>
      <c r="E34" s="5" t="inlineStr"/>
      <c r="F34" s="5" t="inlineStr"/>
      <c r="G34" s="5">
        <f>IF(D34&lt;2,"Gap","")</f>
        <v/>
      </c>
    </row>
    <row r="35">
      <c r="A35" s="7" t="inlineStr">
        <is>
          <t>E6</t>
        </is>
      </c>
      <c r="B35" s="7" t="inlineStr">
        <is>
          <t>Controls and evidence</t>
        </is>
      </c>
      <c r="C35" s="7" t="inlineStr">
        <is>
          <t>Controls/IA have seen the design</t>
        </is>
      </c>
      <c r="D35" s="6" t="n">
        <v>1</v>
      </c>
      <c r="E35" s="7" t="inlineStr"/>
      <c r="F35" s="7" t="inlineStr"/>
      <c r="G35" s="7">
        <f>IF(D35&lt;2,"Gap","")</f>
        <v/>
      </c>
    </row>
    <row r="36">
      <c r="A36" s="5" t="inlineStr">
        <is>
          <t>F1</t>
        </is>
      </c>
      <c r="B36" s="5" t="inlineStr">
        <is>
          <t>Measurement and change</t>
        </is>
      </c>
      <c r="C36" s="5" t="inlineStr">
        <is>
          <t>CFO-recognisable baseline dashboard</t>
        </is>
      </c>
      <c r="D36" s="6" t="n">
        <v>1</v>
      </c>
      <c r="E36" s="5" t="inlineStr"/>
      <c r="F36" s="5" t="inlineStr"/>
      <c r="G36" s="5">
        <f>IF(D36&lt;2,"Gap","")</f>
        <v/>
      </c>
    </row>
    <row r="37">
      <c r="A37" s="7" t="inlineStr">
        <is>
          <t>F2</t>
        </is>
      </c>
      <c r="B37" s="7" t="inlineStr">
        <is>
          <t>Measurement and change</t>
        </is>
      </c>
      <c r="C37" s="7" t="inlineStr">
        <is>
          <t>Benefits tracked as capacity/cost/risk</t>
        </is>
      </c>
      <c r="D37" s="6" t="n">
        <v>1</v>
      </c>
      <c r="E37" s="7" t="inlineStr"/>
      <c r="F37" s="7" t="inlineStr"/>
      <c r="G37" s="7">
        <f>IF(D37&lt;2,"Gap","")</f>
        <v/>
      </c>
    </row>
    <row r="38">
      <c r="A38" s="5" t="inlineStr">
        <is>
          <t>F3</t>
        </is>
      </c>
      <c r="B38" s="5" t="inlineStr">
        <is>
          <t>Measurement and change</t>
        </is>
      </c>
      <c r="C38" s="5" t="inlineStr">
        <is>
          <t>Named executive sponsor</t>
        </is>
      </c>
      <c r="D38" s="6" t="n">
        <v>1</v>
      </c>
      <c r="E38" s="5" t="inlineStr"/>
      <c r="F38" s="5" t="inlineStr"/>
      <c r="G38" s="5">
        <f>IF(D38&lt;2,"Gap","")</f>
        <v/>
      </c>
    </row>
    <row r="39">
      <c r="A39" s="7" t="inlineStr">
        <is>
          <t>F4</t>
        </is>
      </c>
      <c r="B39" s="7" t="inlineStr">
        <is>
          <t>Measurement and change</t>
        </is>
      </c>
      <c r="C39" s="7" t="inlineStr">
        <is>
          <t>Two-week shadow possible</t>
        </is>
      </c>
      <c r="D39" s="6" t="n">
        <v>1</v>
      </c>
      <c r="E39" s="7" t="inlineStr"/>
      <c r="F39" s="7" t="inlineStr"/>
      <c r="G39" s="7">
        <f>IF(D39&lt;2,"Gap","")</f>
        <v/>
      </c>
    </row>
    <row r="40">
      <c r="A40" s="5" t="inlineStr">
        <is>
          <t>F5</t>
        </is>
      </c>
      <c r="B40" s="5" t="inlineStr">
        <is>
          <t>Measurement and change</t>
        </is>
      </c>
      <c r="C40" s="5" t="inlineStr">
        <is>
          <t>Change plan for buyers/receivers</t>
        </is>
      </c>
      <c r="D40" s="6" t="n">
        <v>1</v>
      </c>
      <c r="E40" s="5" t="inlineStr"/>
      <c r="F40" s="5" t="inlineStr"/>
      <c r="G40" s="5">
        <f>IF(D40&lt;2,"Gap","")</f>
        <v/>
      </c>
    </row>
    <row r="41">
      <c r="A41" s="7" t="inlineStr">
        <is>
          <t>F6</t>
        </is>
      </c>
      <c r="B41" s="7" t="inlineStr">
        <is>
          <t>Measurement and change</t>
        </is>
      </c>
      <c r="C41" s="7" t="inlineStr">
        <is>
          <t>Head of AP can stop an agent on evidence</t>
        </is>
      </c>
      <c r="D41" s="6" t="n">
        <v>1</v>
      </c>
      <c r="E41" s="7" t="inlineStr"/>
      <c r="F41" s="7" t="inlineStr"/>
      <c r="G41" s="7">
        <f>IF(D41&lt;2,"Gap","")</f>
        <v/>
      </c>
    </row>
    <row r="42">
      <c r="A42" s="8" t="inlineStr">
        <is>
          <t>RAW</t>
        </is>
      </c>
      <c r="D42" s="9">
        <f>SUM(D6:D41)</f>
        <v/>
      </c>
    </row>
    <row r="43">
      <c r="A43" s="8" t="inlineStr">
        <is>
          <t>READINESS /100</t>
        </is>
      </c>
      <c r="D43" s="9">
        <f>ROUND(D42/108*100,0)</f>
        <v/>
      </c>
    </row>
    <row r="44">
      <c r="A44" s="8" t="inlineStr">
        <is>
          <t>STAGE</t>
        </is>
      </c>
      <c r="D44" s="9">
        <f>IF(D43&lt;20,0,IF(D43&lt;40,1,IF(D43&lt;60,2,IF(D43&lt;80,3,4))))</f>
        <v/>
      </c>
    </row>
    <row r="45">
      <c r="A45" s="8" t="inlineStr">
        <is>
          <t>STAGE NAME</t>
        </is>
      </c>
      <c r="D45" s="9">
        <f>CHOOSE(D44+1,"Unobserved","Documented","Instrumented","Governed pilot","Earned operating model")</f>
        <v/>
      </c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  <headerFooter>
    <oddHeader>&amp;LEvidence Room</oddHeader>
    <oddFooter>&amp;RNot legal or accounting advice  ·  Humans authorise payments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24" customWidth="1" min="5" max="5"/>
    <col width="12" customWidth="1" min="6" max="6"/>
    <col width="18" customWidth="1" min="7" max="7"/>
    <col width="28" customWidth="1" min="8" max="8"/>
  </cols>
  <sheetData>
    <row r="1">
      <c r="A1" s="1" t="inlineStr">
        <is>
          <t>EVIDENCE ROOM  ·  AP AGENT OS</t>
        </is>
      </c>
    </row>
    <row r="2" ht="24" customHeight="1">
      <c r="A2" s="2" t="inlineStr">
        <is>
          <t>Ten-agent opportunity heatmap</t>
        </is>
      </c>
    </row>
    <row r="3">
      <c r="A3" s="3" t="inlineStr">
        <is>
          <t>Score each 1–5. Priority = Volume × Pain × Data × (6-ControlRisk).</t>
        </is>
      </c>
    </row>
    <row r="5">
      <c r="A5" s="4" t="inlineStr">
        <is>
          <t>Family</t>
        </is>
      </c>
      <c r="B5" s="4" t="inlineStr">
        <is>
          <t>Volume 1-5</t>
        </is>
      </c>
      <c r="C5" s="4" t="inlineStr">
        <is>
          <t>Pain 1-5</t>
        </is>
      </c>
      <c r="D5" s="4" t="inlineStr">
        <is>
          <t>Data 1-5</t>
        </is>
      </c>
      <c r="E5" s="4" t="inlineStr">
        <is>
          <t>Control risk 1-5 (5=high)</t>
        </is>
      </c>
      <c r="F5" s="4" t="inlineStr">
        <is>
          <t>Priority</t>
        </is>
      </c>
      <c r="G5" s="4" t="inlineStr">
        <is>
          <t>First autonomy</t>
        </is>
      </c>
      <c r="H5" s="4" t="inlineStr">
        <is>
          <t>Notes</t>
        </is>
      </c>
    </row>
    <row r="6">
      <c r="A6" s="5" t="inlineStr">
        <is>
          <t>01 Intake</t>
        </is>
      </c>
      <c r="B6" s="5" t="n">
        <v>3</v>
      </c>
      <c r="C6" s="5" t="n">
        <v>3</v>
      </c>
      <c r="D6" s="5" t="n">
        <v>3</v>
      </c>
      <c r="E6" s="5" t="n">
        <v>3</v>
      </c>
      <c r="F6" s="5">
        <f>B6*C6*D6*(6-E6)</f>
        <v/>
      </c>
      <c r="G6" s="5" t="inlineStr">
        <is>
          <t>1 Recommend</t>
        </is>
      </c>
      <c r="H6" s="5" t="n"/>
    </row>
    <row r="7">
      <c r="A7" s="5" t="inlineStr">
        <is>
          <t>02 Validation</t>
        </is>
      </c>
      <c r="B7" s="5" t="n">
        <v>3</v>
      </c>
      <c r="C7" s="5" t="n">
        <v>3</v>
      </c>
      <c r="D7" s="5" t="n">
        <v>3</v>
      </c>
      <c r="E7" s="5" t="n">
        <v>3</v>
      </c>
      <c r="F7" s="5">
        <f>B7*C7*D7*(6-E7)</f>
        <v/>
      </c>
      <c r="G7" s="5" t="inlineStr">
        <is>
          <t>1 Recommend</t>
        </is>
      </c>
      <c r="H7" s="5" t="n"/>
    </row>
    <row r="8">
      <c r="A8" s="5" t="inlineStr">
        <is>
          <t>03 Matching</t>
        </is>
      </c>
      <c r="B8" s="5" t="n">
        <v>3</v>
      </c>
      <c r="C8" s="5" t="n">
        <v>3</v>
      </c>
      <c r="D8" s="5" t="n">
        <v>3</v>
      </c>
      <c r="E8" s="5" t="n">
        <v>3</v>
      </c>
      <c r="F8" s="5">
        <f>B8*C8*D8*(6-E8)</f>
        <v/>
      </c>
      <c r="G8" s="5" t="inlineStr">
        <is>
          <t>1 Recommend</t>
        </is>
      </c>
      <c r="H8" s="5" t="n"/>
    </row>
    <row r="9">
      <c r="A9" s="5" t="inlineStr">
        <is>
          <t>04 Triage</t>
        </is>
      </c>
      <c r="B9" s="5" t="n">
        <v>3</v>
      </c>
      <c r="C9" s="5" t="n">
        <v>3</v>
      </c>
      <c r="D9" s="5" t="n">
        <v>3</v>
      </c>
      <c r="E9" s="5" t="n">
        <v>3</v>
      </c>
      <c r="F9" s="5">
        <f>B9*C9*D9*(6-E9)</f>
        <v/>
      </c>
      <c r="G9" s="5" t="inlineStr">
        <is>
          <t>1 Recommend</t>
        </is>
      </c>
      <c r="H9" s="5" t="n"/>
    </row>
    <row r="10">
      <c r="A10" s="5" t="inlineStr">
        <is>
          <t>05 Goods receipt</t>
        </is>
      </c>
      <c r="B10" s="5" t="n">
        <v>3</v>
      </c>
      <c r="C10" s="5" t="n">
        <v>3</v>
      </c>
      <c r="D10" s="5" t="n">
        <v>3</v>
      </c>
      <c r="E10" s="5" t="n">
        <v>3</v>
      </c>
      <c r="F10" s="5">
        <f>B10*C10*D10*(6-E10)</f>
        <v/>
      </c>
      <c r="G10" s="5" t="inlineStr">
        <is>
          <t>1 Recommend</t>
        </is>
      </c>
      <c r="H10" s="5" t="n"/>
    </row>
    <row r="11">
      <c r="A11" s="5" t="inlineStr">
        <is>
          <t>06 PO quality</t>
        </is>
      </c>
      <c r="B11" s="5" t="n">
        <v>3</v>
      </c>
      <c r="C11" s="5" t="n">
        <v>3</v>
      </c>
      <c r="D11" s="5" t="n">
        <v>3</v>
      </c>
      <c r="E11" s="5" t="n">
        <v>3</v>
      </c>
      <c r="F11" s="5">
        <f>B11*C11*D11*(6-E11)</f>
        <v/>
      </c>
      <c r="G11" s="5" t="inlineStr">
        <is>
          <t>1 Recommend</t>
        </is>
      </c>
      <c r="H11" s="5" t="n"/>
    </row>
    <row r="12">
      <c r="A12" s="5" t="inlineStr">
        <is>
          <t>07 Approvals</t>
        </is>
      </c>
      <c r="B12" s="5" t="n">
        <v>3</v>
      </c>
      <c r="C12" s="5" t="n">
        <v>3</v>
      </c>
      <c r="D12" s="5" t="n">
        <v>3</v>
      </c>
      <c r="E12" s="5" t="n">
        <v>3</v>
      </c>
      <c r="F12" s="5">
        <f>B12*C12*D12*(6-E12)</f>
        <v/>
      </c>
      <c r="G12" s="5" t="inlineStr">
        <is>
          <t>1 Recommend</t>
        </is>
      </c>
      <c r="H12" s="5" t="n"/>
    </row>
    <row r="13">
      <c r="A13" s="5" t="inlineStr">
        <is>
          <t>08 Supplier resolution</t>
        </is>
      </c>
      <c r="B13" s="5" t="n">
        <v>3</v>
      </c>
      <c r="C13" s="5" t="n">
        <v>3</v>
      </c>
      <c r="D13" s="5" t="n">
        <v>3</v>
      </c>
      <c r="E13" s="5" t="n">
        <v>3</v>
      </c>
      <c r="F13" s="5">
        <f>B13*C13*D13*(6-E13)</f>
        <v/>
      </c>
      <c r="G13" s="5" t="inlineStr">
        <is>
          <t>1 Recommend</t>
        </is>
      </c>
      <c r="H13" s="5" t="n"/>
    </row>
    <row r="14">
      <c r="A14" s="5" t="inlineStr">
        <is>
          <t>09 Internal follow-up</t>
        </is>
      </c>
      <c r="B14" s="5" t="n">
        <v>3</v>
      </c>
      <c r="C14" s="5" t="n">
        <v>3</v>
      </c>
      <c r="D14" s="5" t="n">
        <v>3</v>
      </c>
      <c r="E14" s="5" t="n">
        <v>3</v>
      </c>
      <c r="F14" s="5">
        <f>B14*C14*D14*(6-E14)</f>
        <v/>
      </c>
      <c r="G14" s="5" t="inlineStr">
        <is>
          <t>1 Recommend</t>
        </is>
      </c>
      <c r="H14" s="5" t="n"/>
    </row>
    <row r="15">
      <c r="A15" s="5" t="inlineStr">
        <is>
          <t>10 Duplicate &amp; anomaly</t>
        </is>
      </c>
      <c r="B15" s="5" t="n">
        <v>3</v>
      </c>
      <c r="C15" s="5" t="n">
        <v>3</v>
      </c>
      <c r="D15" s="5" t="n">
        <v>3</v>
      </c>
      <c r="E15" s="5" t="n">
        <v>3</v>
      </c>
      <c r="F15" s="5">
        <f>B15*C15*D15*(6-E15)</f>
        <v/>
      </c>
      <c r="G15" s="5" t="inlineStr">
        <is>
          <t>1 Recommend</t>
        </is>
      </c>
      <c r="H15" s="5" t="n"/>
    </row>
  </sheetData>
  <mergeCells count="3">
    <mergeCell ref="A3:H3"/>
    <mergeCell ref="A2:H2"/>
    <mergeCell ref="A1:H1"/>
  </mergeCells>
  <conditionalFormatting sqref="F6:F15">
    <cfRule type="colorScale" priority="1">
      <colorScale>
        <cfvo type="min"/>
        <cfvo type="max"/>
        <color rgb="00E6DFD2"/>
        <color rgb="008C7349"/>
      </colorScale>
    </cfRule>
  </conditionalFormatting>
  <pageMargins left="0.75" right="0.75" top="1" bottom="1" header="0.5" footer="0.5"/>
  <pageSetup orientation="landscape" fitToHeight="0" fitToWidth="1"/>
  <headerFooter>
    <oddHeader>&amp;LEvidence Room</oddHeader>
    <oddFooter>&amp;RNot legal or accounting advice  ·  Humans authorise payments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26" customWidth="1" min="4" max="4"/>
    <col width="36" customWidth="1" min="5" max="5"/>
    <col width="16" customWidth="1" min="6" max="6"/>
  </cols>
  <sheetData>
    <row r="1">
      <c r="A1" s="1" t="inlineStr">
        <is>
          <t>EVIDENCE ROOM  ·  AP AGENT OS</t>
        </is>
      </c>
    </row>
    <row r="2" ht="24" customHeight="1">
      <c r="A2" s="2" t="inlineStr">
        <is>
          <t>Baseline KPI worksheet</t>
        </is>
      </c>
    </row>
    <row r="3">
      <c r="A3" s="3" t="inlineStr">
        <is>
          <t>Enter actuals. Ardent 2025 averages are orientation only.</t>
        </is>
      </c>
    </row>
    <row r="5">
      <c r="A5" s="4" t="inlineStr">
        <is>
          <t>Metric</t>
        </is>
      </c>
      <c r="B5" s="4" t="inlineStr">
        <is>
          <t>Your actual</t>
        </is>
      </c>
      <c r="C5" s="4" t="inlineStr">
        <is>
          <t>Unit</t>
        </is>
      </c>
      <c r="D5" s="4" t="inlineStr">
        <is>
          <t>Ardent 2025 orientation</t>
        </is>
      </c>
      <c r="E5" s="4" t="inlineStr">
        <is>
          <t>Source of your actual</t>
        </is>
      </c>
      <c r="F5" s="4" t="inlineStr">
        <is>
          <t>Owner</t>
        </is>
      </c>
    </row>
    <row r="6">
      <c r="A6" s="5" t="inlineStr">
        <is>
          <t>Monthly invoice volume</t>
        </is>
      </c>
      <c r="B6" s="5" t="n">
        <v>15000</v>
      </c>
      <c r="C6" s="5" t="inlineStr">
        <is>
          <t>invoices</t>
        </is>
      </c>
      <c r="D6" s="5" t="inlineStr">
        <is>
          <t>—</t>
        </is>
      </c>
      <c r="E6" s="5" t="inlineStr"/>
    </row>
    <row r="7">
      <c r="A7" s="5" t="inlineStr">
        <is>
          <t>All-in cost per invoice</t>
        </is>
      </c>
      <c r="B7" s="5" t="inlineStr"/>
      <c r="C7" s="5" t="inlineStr">
        <is>
          <t>USD</t>
        </is>
      </c>
      <c r="D7" s="5" t="n">
        <v>9.84</v>
      </c>
      <c r="E7" s="5" t="inlineStr">
        <is>
          <t>If blank, model will estimate labour-only</t>
        </is>
      </c>
    </row>
    <row r="8">
      <c r="A8" s="5" t="inlineStr">
        <is>
          <t>Cycle time</t>
        </is>
      </c>
      <c r="B8" s="5" t="inlineStr"/>
      <c r="C8" s="5" t="inlineStr">
        <is>
          <t>days</t>
        </is>
      </c>
      <c r="D8" s="5" t="n">
        <v>8.199999999999999</v>
      </c>
      <c r="E8" s="5" t="inlineStr"/>
    </row>
    <row r="9">
      <c r="A9" s="5" t="inlineStr">
        <is>
          <t>Exception rate</t>
        </is>
      </c>
      <c r="B9" s="5" t="n">
        <v>0.22</v>
      </c>
      <c r="C9" s="5" t="inlineStr">
        <is>
          <t>ratio</t>
        </is>
      </c>
      <c r="D9" s="5" t="n">
        <v>0.184</v>
      </c>
      <c r="E9" s="5" t="inlineStr"/>
    </row>
    <row r="10">
      <c r="A10" s="5" t="inlineStr">
        <is>
          <t>STP rate</t>
        </is>
      </c>
      <c r="B10" s="5" t="inlineStr"/>
      <c r="C10" s="5" t="inlineStr">
        <is>
          <t>ratio</t>
        </is>
      </c>
      <c r="D10" s="5" t="n">
        <v>0.354</v>
      </c>
      <c r="E10" s="5" t="inlineStr"/>
    </row>
    <row r="11">
      <c r="A11" s="5" t="inlineStr">
        <is>
          <t>PO-backed share</t>
        </is>
      </c>
      <c r="B11" s="5" t="inlineStr"/>
      <c r="C11" s="5" t="inlineStr">
        <is>
          <t>ratio</t>
        </is>
      </c>
      <c r="D11" s="5" t="n">
        <v>0.654</v>
      </c>
      <c r="E11" s="5" t="inlineStr"/>
    </row>
    <row r="12">
      <c r="A12" s="5" t="inlineStr">
        <is>
          <t>AP FTE</t>
        </is>
      </c>
      <c r="B12" s="5" t="n">
        <v>12</v>
      </c>
      <c r="C12" s="5" t="inlineStr">
        <is>
          <t>FTE</t>
        </is>
      </c>
      <c r="D12" s="5" t="inlineStr">
        <is>
          <t>—</t>
        </is>
      </c>
      <c r="E12" s="5" t="inlineStr"/>
    </row>
    <row r="13">
      <c r="A13" s="5" t="inlineStr">
        <is>
          <t>Fully loaded cost per FTE</t>
        </is>
      </c>
      <c r="B13" s="5" t="n">
        <v>75000</v>
      </c>
      <c r="C13" s="5" t="inlineStr">
        <is>
          <t>USD/year</t>
        </is>
      </c>
      <c r="D13" s="5" t="inlineStr">
        <is>
          <t>—</t>
        </is>
      </c>
      <c r="E13" s="5" t="inlineStr"/>
    </row>
    <row r="14">
      <c r="A14" s="5" t="inlineStr">
        <is>
          <t>Avg exception minutes</t>
        </is>
      </c>
      <c r="B14" s="5" t="n">
        <v>12</v>
      </c>
      <c r="C14" s="5" t="inlineStr">
        <is>
          <t>minutes</t>
        </is>
      </c>
      <c r="D14" s="5" t="inlineStr">
        <is>
          <t>—</t>
        </is>
      </c>
      <c r="E14" s="5" t="inlineStr"/>
    </row>
    <row r="15">
      <c r="A15" s="5" t="inlineStr">
        <is>
          <t>Manual-touch share</t>
        </is>
      </c>
      <c r="B15" s="5" t="n">
        <v>0.65</v>
      </c>
      <c r="C15" s="5" t="inlineStr">
        <is>
          <t>ratio</t>
        </is>
      </c>
      <c r="D15" s="5" t="inlineStr">
        <is>
          <t>—</t>
        </is>
      </c>
      <c r="E15" s="5" t="inlineStr"/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Height="0" fitToWidth="1"/>
  <headerFooter>
    <oddHeader>&amp;LEvidence Room</oddHeader>
    <oddFooter>&amp;RNot legal or accounting advice  ·  Humans authorise payments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2026-09-20T15:57:51Z</dcterms:created>
  <dcterms:modified xmlns:dcterms="http://purl.org/dc/terms/" xmlns:xsi="http://www.w3.org/2001/XMLSchema-instance" xsi:type="dcterms:W3CDTF">2026-09-20T15:57:51Z</dcterms:modified>
</cp:coreProperties>
</file>