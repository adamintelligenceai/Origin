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nswer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Heatmap" sheetId="4" state="visible" r:id="rId4"/>
    <sheet xmlns:r="http://schemas.openxmlformats.org/officeDocument/2006/relationships" name="Baseline_KPI" sheetId="5" state="visible" r:id="rId5"/>
    <sheet xmlns:r="http://schemas.openxmlformats.org/officeDocument/2006/relationships" name="Case_star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1A1C19"/>
      <sz val="13"/>
    </font>
    <font>
      <name val="Calibri"/>
      <b val="1"/>
      <color rgb="00FFFCF7"/>
      <sz val="10"/>
    </font>
    <font>
      <name val="Consolas"/>
      <color rgb="001A1C19"/>
      <sz val="10"/>
    </font>
    <font>
      <name val="Calibri"/>
      <color rgb="001A1C19"/>
      <sz val="11"/>
    </font>
    <font>
      <name val="Calibri"/>
      <i val="1"/>
      <color rgb="005C6158"/>
      <sz val="9"/>
    </font>
    <font>
      <name val="Calibri"/>
      <b val="1"/>
      <color rgb="001A1C19"/>
      <sz val="11"/>
    </font>
    <font>
      <name val="Calibri"/>
      <b val="1"/>
      <color rgb="008A3A2A"/>
      <sz val="11"/>
    </font>
  </fonts>
  <fills count="7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  <fill>
      <patternFill patternType="solid">
        <fgColor rgb="00FFFCF7"/>
      </patternFill>
    </fill>
    <fill>
      <patternFill patternType="solid">
        <fgColor rgb="00E8E4D9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9" fontId="7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9" fontId="7" fillId="6" borderId="1" applyAlignment="1" pivotButton="0" quotePrefix="0" xfId="0">
      <alignment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AP AI Readiness Diagnostic — Scorecard</t>
        </is>
      </c>
    </row>
    <row r="3" ht="18" customHeight="1">
      <c r="A3" s="3" t="inlineStr">
        <is>
          <t>36 questions · 0–4 rubric · unweighted · 30–40 minutes. Proof before permission.</t>
        </is>
      </c>
    </row>
    <row r="5">
      <c r="A5" s="4" t="inlineStr">
        <is>
          <t>How to score</t>
        </is>
      </c>
    </row>
    <row r="6" ht="22" customHeight="1">
      <c r="A6" s="5" t="inlineStr">
        <is>
          <t>0 = Absent / unknown. 1 = Informal / hero-dependent. 2 = Partial / uneven. 3 = Documented and mostly used. 4 = Operated, sampled, and evidenced.</t>
        </is>
      </c>
    </row>
    <row r="7" ht="22" customHeight="1">
      <c r="A7" s="5" t="inlineStr">
        <is>
          <t>Do not score what you hope is true. Score what you can show on Monday.</t>
        </is>
      </c>
    </row>
    <row r="8" ht="22" customHeight="1">
      <c r="A8" s="5" t="inlineStr">
        <is>
          <t>Unweighted: 36 × 4 = 144. Domain subtotals (0–24) matter more than the headline.</t>
        </is>
      </c>
    </row>
    <row r="9" ht="22" customHeight="1">
      <c r="A9" s="5" t="inlineStr">
        <is>
          <t>Hard brakes: if CA-02 (bank-change vs payment SoD) is 0–1, do not interpret a high AR score as permission to execute.</t>
        </is>
      </c>
    </row>
    <row r="10" ht="22" customHeight="1">
      <c r="A10" s="5" t="inlineStr">
        <is>
          <t>No industry target is pre-filled. Deloitte / APQC / Hackett figures are market context in the PDF, not your score.</t>
        </is>
      </c>
    </row>
    <row r="11" ht="22" customHeight="1">
      <c r="A11" s="5" t="inlineStr">
        <is>
          <t>Yellow cells on Answers are [BUYER] inputs. Do not overwrite formulas on Results.</t>
        </is>
      </c>
    </row>
    <row r="13">
      <c r="A13" t="inlineStr">
        <is>
          <t>Organisation (optional)</t>
        </is>
      </c>
      <c r="B13" t="inlineStr">
        <is>
          <t>[BUYER legal name]</t>
        </is>
      </c>
    </row>
    <row r="14">
      <c r="A14" t="inlineStr">
        <is>
          <t>Scored by</t>
        </is>
      </c>
      <c r="B14" t="inlineStr">
        <is>
          <t>[BUYER name / role]</t>
        </is>
      </c>
    </row>
    <row r="15">
      <c r="A15" t="inlineStr">
        <is>
          <t>Date</t>
        </is>
      </c>
      <c r="B15" t="inlineStr">
        <is>
          <t>[YYYY-MM-DD]</t>
        </is>
      </c>
    </row>
    <row r="16">
      <c r="A16" t="inlineStr">
        <is>
          <t>Entities in scope</t>
        </is>
      </c>
      <c r="B16" t="inlineStr">
        <is>
          <t>[BUYER]</t>
        </is>
      </c>
    </row>
  </sheetData>
  <mergeCells count="9">
    <mergeCell ref="A2:F2"/>
    <mergeCell ref="A11:F11"/>
    <mergeCell ref="A10:F10"/>
    <mergeCell ref="A1:F1"/>
    <mergeCell ref="A9:F9"/>
    <mergeCell ref="A8:F8"/>
    <mergeCell ref="A6:F6"/>
    <mergeCell ref="A3:F3"/>
    <mergeCell ref="A7:F7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  <col width="14" customWidth="1" min="4" max="4"/>
    <col width="28" customWidth="1" min="5" max="5"/>
    <col width="28" customWidth="1" min="6" max="6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Answers</t>
        </is>
      </c>
    </row>
    <row r="3" ht="18" customHeight="1">
      <c r="A3" s="3" t="inlineStr">
        <is>
          <t>Enter Score 0–4 only. Rubric text is a reminder — do not score the reminder.</t>
        </is>
      </c>
    </row>
    <row r="5" ht="28" customHeight="1">
      <c r="A5" s="6" t="inlineStr">
        <is>
          <t>ID</t>
        </is>
      </c>
      <c r="B5" s="6" t="inlineStr">
        <is>
          <t>Domain</t>
        </is>
      </c>
      <c r="C5" s="6" t="inlineStr">
        <is>
          <t>Question</t>
        </is>
      </c>
      <c r="D5" s="6" t="inlineStr">
        <is>
          <t>Score 0–4</t>
        </is>
      </c>
      <c r="E5" s="6" t="inlineStr">
        <is>
          <t>Evidence pointer</t>
        </is>
      </c>
      <c r="F5" s="6" t="inlineStr">
        <is>
          <t>Notes</t>
        </is>
      </c>
    </row>
    <row r="6">
      <c r="A6" s="7" t="inlineStr">
        <is>
          <t>PI-01</t>
        </is>
      </c>
      <c r="B6" s="7" t="inlineStr">
        <is>
          <t>Process integrity</t>
        </is>
      </c>
      <c r="C6" s="7" t="inlineStr">
        <is>
          <t>Invoice channels are documented (email, portal, EDI, scan) with an owner per channel.</t>
        </is>
      </c>
      <c r="D6" s="8" t="n"/>
      <c r="E6" s="9" t="inlineStr"/>
      <c r="F6" s="7" t="inlineStr"/>
    </row>
    <row r="7">
      <c r="A7" s="7" t="inlineStr">
        <is>
          <t>PI-02</t>
        </is>
      </c>
      <c r="B7" s="7" t="inlineStr">
        <is>
          <t>Process integrity</t>
        </is>
      </c>
      <c r="C7" s="7" t="inlineStr">
        <is>
          <t>PO vs non-PO policy is written and used, not tribal.</t>
        </is>
      </c>
      <c r="D7" s="8" t="n"/>
      <c r="E7" s="9" t="inlineStr"/>
      <c r="F7" s="7" t="inlineStr"/>
    </row>
    <row r="8">
      <c r="A8" s="7" t="inlineStr">
        <is>
          <t>PI-03</t>
        </is>
      </c>
      <c r="B8" s="7" t="inlineStr">
        <is>
          <t>Process integrity</t>
        </is>
      </c>
      <c r="C8" s="7" t="inlineStr">
        <is>
          <t>Matching rules (2-way / 3-way / tolerances) are published per category.</t>
        </is>
      </c>
      <c r="D8" s="8" t="n"/>
      <c r="E8" s="9" t="inlineStr"/>
      <c r="F8" s="7" t="inlineStr"/>
    </row>
    <row r="9">
      <c r="A9" s="7" t="inlineStr">
        <is>
          <t>PI-04</t>
        </is>
      </c>
      <c r="B9" s="7" t="inlineStr">
        <is>
          <t>Process integrity</t>
        </is>
      </c>
      <c r="C9" s="7" t="inlineStr">
        <is>
          <t>Exception reason codes exist and are used on the queue.</t>
        </is>
      </c>
      <c r="D9" s="8" t="n"/>
      <c r="E9" s="9" t="inlineStr"/>
      <c r="F9" s="7" t="inlineStr"/>
    </row>
    <row r="10">
      <c r="A10" s="7" t="inlineStr">
        <is>
          <t>PI-05</t>
        </is>
      </c>
      <c r="B10" s="7" t="inlineStr">
        <is>
          <t>Process integrity</t>
        </is>
      </c>
      <c r="C10" s="7" t="inlineStr">
        <is>
          <t>Aged exceptions have a named owner and a clock.</t>
        </is>
      </c>
      <c r="D10" s="8" t="n"/>
      <c r="E10" s="9" t="inlineStr"/>
      <c r="F10" s="7" t="inlineStr"/>
    </row>
    <row r="11">
      <c r="A11" s="7" t="inlineStr">
        <is>
          <t>PI-06</t>
        </is>
      </c>
      <c r="B11" s="7" t="inlineStr">
        <is>
          <t>Process integrity</t>
        </is>
      </c>
      <c r="C11" s="7" t="inlineStr">
        <is>
          <t>Month-end AP completeness (GR/IR, unprocessed, blocked) has a checklist.</t>
        </is>
      </c>
      <c r="D11" s="8" t="n"/>
      <c r="E11" s="9" t="inlineStr"/>
      <c r="F11" s="7" t="inlineStr"/>
    </row>
    <row r="12">
      <c r="A12" s="7" t="inlineStr">
        <is>
          <t>DS-01</t>
        </is>
      </c>
      <c r="B12" s="7" t="inlineStr">
        <is>
          <t>Data &amp; systems</t>
        </is>
      </c>
      <c r="C12" s="7" t="inlineStr">
        <is>
          <t>Invoice image/PDF is retrievable from the case, not only a posted header.</t>
        </is>
      </c>
      <c r="D12" s="8" t="n"/>
      <c r="E12" s="9" t="inlineStr"/>
      <c r="F12" s="7" t="inlineStr"/>
    </row>
    <row r="13">
      <c r="A13" s="7" t="inlineStr">
        <is>
          <t>DS-02</t>
        </is>
      </c>
      <c r="B13" s="7" t="inlineStr">
        <is>
          <t>Data &amp; systems</t>
        </is>
      </c>
      <c r="C13" s="7" t="inlineStr">
        <is>
          <t>Vendor master quality is measured (duplicates, inactive, bank-change trail).</t>
        </is>
      </c>
      <c r="D13" s="8" t="n"/>
      <c r="E13" s="9" t="inlineStr"/>
      <c r="F13" s="7" t="inlineStr"/>
    </row>
    <row r="14">
      <c r="A14" s="7" t="inlineStr">
        <is>
          <t>DS-03</t>
        </is>
      </c>
      <c r="B14" s="7" t="inlineStr">
        <is>
          <t>Data &amp; systems</t>
        </is>
      </c>
      <c r="C14" s="7" t="inlineStr">
        <is>
          <t>PO, GR, invoice, and payment keys can be joined without a hero spreadsheet.</t>
        </is>
      </c>
      <c r="D14" s="8" t="n"/>
      <c r="E14" s="9" t="inlineStr"/>
      <c r="F14" s="7" t="inlineStr"/>
    </row>
    <row r="15">
      <c r="A15" s="7" t="inlineStr">
        <is>
          <t>DS-04</t>
        </is>
      </c>
      <c r="B15" s="7" t="inlineStr">
        <is>
          <t>Data &amp; systems</t>
        </is>
      </c>
      <c r="C15" s="7" t="inlineStr">
        <is>
          <t>Legal entity / company code is reliable on the invoice packet.</t>
        </is>
      </c>
      <c r="D15" s="8" t="n"/>
      <c r="E15" s="9" t="inlineStr"/>
      <c r="F15" s="7" t="inlineStr"/>
    </row>
    <row r="16">
      <c r="A16" s="7" t="inlineStr">
        <is>
          <t>DS-05</t>
        </is>
      </c>
      <c r="B16" s="7" t="inlineStr">
        <is>
          <t>Data &amp; systems</t>
        </is>
      </c>
      <c r="C16" s="7" t="inlineStr">
        <is>
          <t>Tax fields are captured and reconcilable to policy, not free text.</t>
        </is>
      </c>
      <c r="D16" s="8" t="n"/>
      <c r="E16" s="9" t="inlineStr"/>
      <c r="F16" s="7" t="inlineStr"/>
    </row>
    <row r="17">
      <c r="A17" s="7" t="inlineStr">
        <is>
          <t>DS-06</t>
        </is>
      </c>
      <c r="B17" s="7" t="inlineStr">
        <is>
          <t>Data &amp; systems</t>
        </is>
      </c>
      <c r="C17" s="7" t="inlineStr">
        <is>
          <t>Interface failures are visible (not silent drops).</t>
        </is>
      </c>
      <c r="D17" s="8" t="n"/>
      <c r="E17" s="9" t="inlineStr"/>
      <c r="F17" s="7" t="inlineStr"/>
    </row>
    <row r="18">
      <c r="A18" s="7" t="inlineStr">
        <is>
          <t>CA-01</t>
        </is>
      </c>
      <c r="B18" s="7" t="inlineStr">
        <is>
          <t>Controls &amp; audit</t>
        </is>
      </c>
      <c r="C18" s="7" t="inlineStr">
        <is>
          <t>A named human is accountable for AP posting quality.</t>
        </is>
      </c>
      <c r="D18" s="8" t="n"/>
      <c r="E18" s="9" t="inlineStr"/>
      <c r="F18" s="7" t="inlineStr"/>
    </row>
    <row r="19">
      <c r="A19" s="7" t="inlineStr">
        <is>
          <t>CA-02</t>
        </is>
      </c>
      <c r="B19" s="7" t="inlineStr">
        <is>
          <t>Controls &amp; audit</t>
        </is>
      </c>
      <c r="C19" s="7" t="inlineStr">
        <is>
          <t>Segregation of duties exists between vendor bank-change and payment release.</t>
        </is>
      </c>
      <c r="D19" s="8" t="n"/>
      <c r="E19" s="9" t="inlineStr"/>
      <c r="F19" s="7" t="inlineStr"/>
    </row>
    <row r="20">
      <c r="A20" s="7" t="inlineStr">
        <is>
          <t>CA-03</t>
        </is>
      </c>
      <c r="B20" s="7" t="inlineStr">
        <is>
          <t>Controls &amp; audit</t>
        </is>
      </c>
      <c r="C20" s="7" t="inlineStr">
        <is>
          <t>Delegation of authority is current and system-enforced where the ERP allows.</t>
        </is>
      </c>
      <c r="D20" s="8" t="n"/>
      <c r="E20" s="9" t="inlineStr"/>
      <c r="F20" s="7" t="inlineStr"/>
    </row>
    <row r="21">
      <c r="A21" s="7" t="inlineStr">
        <is>
          <t>CA-04</t>
        </is>
      </c>
      <c r="B21" s="7" t="inlineStr">
        <is>
          <t>Controls &amp; audit</t>
        </is>
      </c>
      <c r="C21" s="7" t="inlineStr">
        <is>
          <t>Overrides are logged with reason and approver.</t>
        </is>
      </c>
      <c r="D21" s="8" t="n"/>
      <c r="E21" s="9" t="inlineStr"/>
      <c r="F21" s="7" t="inlineStr"/>
    </row>
    <row r="22">
      <c r="A22" s="7" t="inlineStr">
        <is>
          <t>CA-05</t>
        </is>
      </c>
      <c r="B22" s="7" t="inlineStr">
        <is>
          <t>Controls &amp; audit</t>
        </is>
      </c>
      <c r="C22" s="7" t="inlineStr">
        <is>
          <t>Evidence retention period is defined for invoices, approvals, and queries.</t>
        </is>
      </c>
      <c r="D22" s="8" t="n"/>
      <c r="E22" s="9" t="inlineStr"/>
      <c r="F22" s="7" t="inlineStr"/>
    </row>
    <row r="23">
      <c r="A23" s="7" t="inlineStr">
        <is>
          <t>CA-06</t>
        </is>
      </c>
      <c r="B23" s="7" t="inlineStr">
        <is>
          <t>Controls &amp; audit</t>
        </is>
      </c>
      <c r="C23" s="7" t="inlineStr">
        <is>
          <t>Internal Audit or Controls can sample an invoice end-to-end in one sitting.</t>
        </is>
      </c>
      <c r="D23" s="8" t="n"/>
      <c r="E23" s="9" t="inlineStr"/>
      <c r="F23" s="7" t="inlineStr"/>
    </row>
    <row r="24">
      <c r="A24" s="7" t="inlineStr">
        <is>
          <t>EE-01</t>
        </is>
      </c>
      <c r="B24" s="7" t="inlineStr">
        <is>
          <t>Exception economics</t>
        </is>
      </c>
      <c r="C24" s="7" t="inlineStr">
        <is>
          <t>Monthly invoice volume is known by entity and channel.</t>
        </is>
      </c>
      <c r="D24" s="8" t="n"/>
      <c r="E24" s="9" t="inlineStr"/>
      <c r="F24" s="7" t="inlineStr"/>
    </row>
    <row r="25">
      <c r="A25" s="7" t="inlineStr">
        <is>
          <t>EE-02</t>
        </is>
      </c>
      <c r="B25" s="7" t="inlineStr">
        <is>
          <t>Exception economics</t>
        </is>
      </c>
      <c r="C25" s="7" t="inlineStr">
        <is>
          <t>Exception rate is measured (not guessed).</t>
        </is>
      </c>
      <c r="D25" s="8" t="n"/>
      <c r="E25" s="9" t="inlineStr"/>
      <c r="F25" s="7" t="inlineStr"/>
    </row>
    <row r="26">
      <c r="A26" s="7" t="inlineStr">
        <is>
          <t>EE-03</t>
        </is>
      </c>
      <c r="B26" s="7" t="inlineStr">
        <is>
          <t>Exception economics</t>
        </is>
      </c>
      <c r="C26" s="7" t="inlineStr">
        <is>
          <t>Average resolution minutes are measured for the top three exception families.</t>
        </is>
      </c>
      <c r="D26" s="8" t="n"/>
      <c r="E26" s="9" t="inlineStr"/>
      <c r="F26" s="7" t="inlineStr"/>
    </row>
    <row r="27">
      <c r="A27" s="7" t="inlineStr">
        <is>
          <t>EE-04</t>
        </is>
      </c>
      <c r="B27" s="7" t="inlineStr">
        <is>
          <t>Exception economics</t>
        </is>
      </c>
      <c r="C27" s="7" t="inlineStr">
        <is>
          <t>Cost per invoice (or a proxy) is calculated at least annually.</t>
        </is>
      </c>
      <c r="D27" s="8" t="n"/>
      <c r="E27" s="9" t="inlineStr"/>
      <c r="F27" s="7" t="inlineStr"/>
    </row>
    <row r="28">
      <c r="A28" s="7" t="inlineStr">
        <is>
          <t>EE-05</t>
        </is>
      </c>
      <c r="B28" s="7" t="inlineStr">
        <is>
          <t>Exception economics</t>
        </is>
      </c>
      <c r="C28" s="7" t="inlineStr">
        <is>
          <t>Duplicate detection exists before payment proposal.</t>
        </is>
      </c>
      <c r="D28" s="8" t="n"/>
      <c r="E28" s="9" t="inlineStr"/>
      <c r="F28" s="7" t="inlineStr"/>
    </row>
    <row r="29">
      <c r="A29" s="7" t="inlineStr">
        <is>
          <t>EE-06</t>
        </is>
      </c>
      <c r="B29" s="7" t="inlineStr">
        <is>
          <t>Exception economics</t>
        </is>
      </c>
      <c r="C29" s="7" t="inlineStr">
        <is>
          <t>Late-payment / early-discount impact is known enough to put in a case, even if rough.</t>
        </is>
      </c>
      <c r="D29" s="8" t="n"/>
      <c r="E29" s="9" t="inlineStr"/>
      <c r="F29" s="7" t="inlineStr"/>
    </row>
    <row r="30">
      <c r="A30" s="7" t="inlineStr">
        <is>
          <t>TO-01</t>
        </is>
      </c>
      <c r="B30" s="7" t="inlineStr">
        <is>
          <t>Talent &amp; operating model</t>
        </is>
      </c>
      <c r="C30" s="7" t="inlineStr">
        <is>
          <t>AP roles are named (intake, match, query, payments, close) — not 'the team'.</t>
        </is>
      </c>
      <c r="D30" s="8" t="n"/>
      <c r="E30" s="9" t="inlineStr"/>
      <c r="F30" s="7" t="inlineStr"/>
    </row>
    <row r="31">
      <c r="A31" s="7" t="inlineStr">
        <is>
          <t>TO-02</t>
        </is>
      </c>
      <c r="B31" s="7" t="inlineStr">
        <is>
          <t>Talent &amp; operating model</t>
        </is>
      </c>
      <c r="C31" s="7" t="inlineStr">
        <is>
          <t>Workload is visible (queue, ageing, not inbox heroics).</t>
        </is>
      </c>
      <c r="D31" s="8" t="n"/>
      <c r="E31" s="9" t="inlineStr"/>
      <c r="F31" s="7" t="inlineStr"/>
    </row>
    <row r="32">
      <c r="A32" s="7" t="inlineStr">
        <is>
          <t>TO-03</t>
        </is>
      </c>
      <c r="B32" s="7" t="inlineStr">
        <is>
          <t>Talent &amp; operating model</t>
        </is>
      </c>
      <c r="C32" s="7" t="inlineStr">
        <is>
          <t>Procurement / receiving / AP have a working escalation path.</t>
        </is>
      </c>
      <c r="D32" s="8" t="n"/>
      <c r="E32" s="9" t="inlineStr"/>
      <c r="F32" s="7" t="inlineStr"/>
    </row>
    <row r="33">
      <c r="A33" s="7" t="inlineStr">
        <is>
          <t>TO-04</t>
        </is>
      </c>
      <c r="B33" s="7" t="inlineStr">
        <is>
          <t>Talent &amp; operating model</t>
        </is>
      </c>
      <c r="C33" s="7" t="inlineStr">
        <is>
          <t>A process owner exists who can change a rule, not only a ticket.</t>
        </is>
      </c>
      <c r="D33" s="8" t="n"/>
      <c r="E33" s="9" t="inlineStr"/>
      <c r="F33" s="7" t="inlineStr"/>
    </row>
    <row r="34">
      <c r="A34" s="7" t="inlineStr">
        <is>
          <t>TO-05</t>
        </is>
      </c>
      <c r="B34" s="7" t="inlineStr">
        <is>
          <t>Talent &amp; operating model</t>
        </is>
      </c>
      <c r="C34" s="7" t="inlineStr">
        <is>
          <t>Training for a new processor is documented.</t>
        </is>
      </c>
      <c r="D34" s="8" t="n"/>
      <c r="E34" s="9" t="inlineStr"/>
      <c r="F34" s="7" t="inlineStr"/>
    </row>
    <row r="35">
      <c r="A35" s="7" t="inlineStr">
        <is>
          <t>TO-06</t>
        </is>
      </c>
      <c r="B35" s="7" t="inlineStr">
        <is>
          <t>Talent &amp; operating model</t>
        </is>
      </c>
      <c r="C35" s="7" t="inlineStr">
        <is>
          <t>Shared-services vs in-country split is written down.</t>
        </is>
      </c>
      <c r="D35" s="8" t="n"/>
      <c r="E35" s="9" t="inlineStr"/>
      <c r="F35" s="7" t="inlineStr"/>
    </row>
    <row r="36">
      <c r="A36" s="7" t="inlineStr">
        <is>
          <t>AR-01</t>
        </is>
      </c>
      <c r="B36" s="7" t="inlineStr">
        <is>
          <t>Agent readiness</t>
        </is>
      </c>
      <c r="C36" s="7" t="inlineStr">
        <is>
          <t>AI / automation work in AP has a named owner (not 'innovation').</t>
        </is>
      </c>
      <c r="D36" s="8" t="n"/>
      <c r="E36" s="9" t="inlineStr"/>
      <c r="F36" s="7" t="inlineStr"/>
    </row>
    <row r="37">
      <c r="A37" s="7" t="inlineStr">
        <is>
          <t>AR-02</t>
        </is>
      </c>
      <c r="B37" s="7" t="inlineStr">
        <is>
          <t>Agent readiness</t>
        </is>
      </c>
      <c r="C37" s="7" t="inlineStr">
        <is>
          <t>Any existing bot or model has a written scope and a kill-switch.</t>
        </is>
      </c>
      <c r="D37" s="8" t="n"/>
      <c r="E37" s="9" t="inlineStr"/>
      <c r="F37" s="7" t="inlineStr"/>
    </row>
    <row r="38">
      <c r="A38" s="7" t="inlineStr">
        <is>
          <t>AR-03</t>
        </is>
      </c>
      <c r="B38" s="7" t="inlineStr">
        <is>
          <t>Agent readiness</t>
        </is>
      </c>
      <c r="C38" s="7" t="inlineStr">
        <is>
          <t>Output is sampled against a gold set or dual-review, not vibes.</t>
        </is>
      </c>
      <c r="D38" s="8" t="n"/>
      <c r="E38" s="9" t="inlineStr"/>
      <c r="F38" s="7" t="inlineStr"/>
    </row>
    <row r="39">
      <c r="A39" s="7" t="inlineStr">
        <is>
          <t>AR-04</t>
        </is>
      </c>
      <c r="B39" s="7" t="inlineStr">
        <is>
          <t>Agent readiness</t>
        </is>
      </c>
      <c r="C39" s="7" t="inlineStr">
        <is>
          <t>Autonomy is not assumed; observe/recommend is the default conversation.</t>
        </is>
      </c>
      <c r="D39" s="8" t="n"/>
      <c r="E39" s="9" t="inlineStr"/>
      <c r="F39" s="7" t="inlineStr"/>
    </row>
    <row r="40">
      <c r="A40" s="7" t="inlineStr">
        <is>
          <t>AR-05</t>
        </is>
      </c>
      <c r="B40" s="7" t="inlineStr">
        <is>
          <t>Agent readiness</t>
        </is>
      </c>
      <c r="C40" s="7" t="inlineStr">
        <is>
          <t>Data-privacy review path exists before sending invoices to a model.</t>
        </is>
      </c>
      <c r="D40" s="8" t="n"/>
      <c r="E40" s="9" t="inlineStr"/>
      <c r="F40" s="7" t="inlineStr"/>
    </row>
    <row r="41">
      <c r="A41" s="7" t="inlineStr">
        <is>
          <t>AR-06</t>
        </is>
      </c>
      <c r="B41" s="7" t="inlineStr">
        <is>
          <t>Agent readiness</t>
        </is>
      </c>
      <c r="C41" s="7" t="inlineStr">
        <is>
          <t>Leadership will accept L0 evidence before asking for L3.</t>
        </is>
      </c>
      <c r="D41" s="8" t="n"/>
      <c r="E41" s="9" t="inlineStr"/>
      <c r="F41" s="7" t="inlineStr"/>
    </row>
    <row r="43" ht="36" customHeight="1">
      <c r="A43" s="10" t="inlineStr">
        <is>
          <t>Validation: scores outside 0–4 will flag on Results. Blank is treated as unanswered, not zero.</t>
        </is>
      </c>
    </row>
  </sheetData>
  <mergeCells count="4">
    <mergeCell ref="A3:F3"/>
    <mergeCell ref="A2:F2"/>
    <mergeCell ref="A43:H43"/>
    <mergeCell ref="A1:F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6" customWidth="1" min="4" max="4"/>
    <col width="14" customWidth="1" min="5" max="5"/>
    <col width="42" customWidth="1" min="6" max="6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Results</t>
        </is>
      </c>
    </row>
    <row r="3" ht="18" customHeight="1">
      <c r="A3" s="3" t="inlineStr">
        <is>
          <t>Formulas only. Do not type over this sheet.</t>
        </is>
      </c>
    </row>
    <row r="5" ht="28" customHeight="1">
      <c r="A5" s="6" t="inlineStr">
        <is>
          <t>Domain</t>
        </is>
      </c>
      <c r="B5" s="6" t="inlineStr">
        <is>
          <t>Answered</t>
        </is>
      </c>
      <c r="C5" s="6" t="inlineStr">
        <is>
          <t>Sum</t>
        </is>
      </c>
      <c r="D5" s="6" t="inlineStr">
        <is>
          <t>Max possible</t>
        </is>
      </c>
      <c r="E5" s="6" t="inlineStr">
        <is>
          <t>Domain %</t>
        </is>
      </c>
      <c r="F5" s="6" t="inlineStr">
        <is>
          <t>Maturity hint</t>
        </is>
      </c>
    </row>
    <row r="6">
      <c r="A6" s="7" t="inlineStr">
        <is>
          <t>Process integrity</t>
        </is>
      </c>
      <c r="B6" s="7">
        <f>COUNT(Answers!D6:D11)</f>
        <v/>
      </c>
      <c r="C6" s="7">
        <f>SUM(Answers!D6:D11)</f>
        <v/>
      </c>
      <c r="D6" s="7">
        <f>B6*4</f>
        <v/>
      </c>
      <c r="E6" s="11">
        <f>IF(D6=0,"—",C6/D6)</f>
        <v/>
      </c>
      <c r="F6" s="7">
        <f>IF(B6&lt;6,"Incomplete",IF(E6&lt;0.25,"1 Unprepared",IF(E6&lt;0.45,"2 Experimental",IF(E6&lt;0.65,"3 Governed pilot",IF(E6&lt;0.85,"4 Earned scale","5 Institutional")))))</f>
        <v/>
      </c>
    </row>
    <row r="7">
      <c r="A7" s="7" t="inlineStr">
        <is>
          <t>Data &amp; systems</t>
        </is>
      </c>
      <c r="B7" s="7">
        <f>COUNT(Answers!D12:D17)</f>
        <v/>
      </c>
      <c r="C7" s="7">
        <f>SUM(Answers!D12:D17)</f>
        <v/>
      </c>
      <c r="D7" s="7">
        <f>B7*4</f>
        <v/>
      </c>
      <c r="E7" s="11">
        <f>IF(D7=0,"—",C7/D7)</f>
        <v/>
      </c>
      <c r="F7" s="7">
        <f>IF(B7&lt;6,"Incomplete",IF(E7&lt;0.25,"1 Unprepared",IF(E7&lt;0.45,"2 Experimental",IF(E7&lt;0.65,"3 Governed pilot",IF(E7&lt;0.85,"4 Earned scale","5 Institutional")))))</f>
        <v/>
      </c>
    </row>
    <row r="8">
      <c r="A8" s="7" t="inlineStr">
        <is>
          <t>Controls &amp; audit</t>
        </is>
      </c>
      <c r="B8" s="7">
        <f>COUNT(Answers!D18:D23)</f>
        <v/>
      </c>
      <c r="C8" s="7">
        <f>SUM(Answers!D18:D23)</f>
        <v/>
      </c>
      <c r="D8" s="7">
        <f>B8*4</f>
        <v/>
      </c>
      <c r="E8" s="11">
        <f>IF(D8=0,"—",C8/D8)</f>
        <v/>
      </c>
      <c r="F8" s="7">
        <f>IF(B8&lt;6,"Incomplete",IF(E8&lt;0.25,"1 Unprepared",IF(E8&lt;0.45,"2 Experimental",IF(E8&lt;0.65,"3 Governed pilot",IF(E8&lt;0.85,"4 Earned scale","5 Institutional")))))</f>
        <v/>
      </c>
    </row>
    <row r="9">
      <c r="A9" s="7" t="inlineStr">
        <is>
          <t>Exception economics</t>
        </is>
      </c>
      <c r="B9" s="7">
        <f>COUNT(Answers!D24:D29)</f>
        <v/>
      </c>
      <c r="C9" s="7">
        <f>SUM(Answers!D24:D29)</f>
        <v/>
      </c>
      <c r="D9" s="7">
        <f>B9*4</f>
        <v/>
      </c>
      <c r="E9" s="11">
        <f>IF(D9=0,"—",C9/D9)</f>
        <v/>
      </c>
      <c r="F9" s="7">
        <f>IF(B9&lt;6,"Incomplete",IF(E9&lt;0.25,"1 Unprepared",IF(E9&lt;0.45,"2 Experimental",IF(E9&lt;0.65,"3 Governed pilot",IF(E9&lt;0.85,"4 Earned scale","5 Institutional")))))</f>
        <v/>
      </c>
    </row>
    <row r="10">
      <c r="A10" s="7" t="inlineStr">
        <is>
          <t>Talent &amp; operating model</t>
        </is>
      </c>
      <c r="B10" s="7">
        <f>COUNT(Answers!D30:D35)</f>
        <v/>
      </c>
      <c r="C10" s="7">
        <f>SUM(Answers!D30:D35)</f>
        <v/>
      </c>
      <c r="D10" s="7">
        <f>B10*4</f>
        <v/>
      </c>
      <c r="E10" s="11">
        <f>IF(D10=0,"—",C10/D10)</f>
        <v/>
      </c>
      <c r="F10" s="7">
        <f>IF(B10&lt;6,"Incomplete",IF(E10&lt;0.25,"1 Unprepared",IF(E10&lt;0.45,"2 Experimental",IF(E10&lt;0.65,"3 Governed pilot",IF(E10&lt;0.85,"4 Earned scale","5 Institutional")))))</f>
        <v/>
      </c>
    </row>
    <row r="11">
      <c r="A11" s="7" t="inlineStr">
        <is>
          <t>Agent readiness</t>
        </is>
      </c>
      <c r="B11" s="7">
        <f>COUNT(Answers!D36:D41)</f>
        <v/>
      </c>
      <c r="C11" s="7">
        <f>SUM(Answers!D36:D41)</f>
        <v/>
      </c>
      <c r="D11" s="7">
        <f>B11*4</f>
        <v/>
      </c>
      <c r="E11" s="11">
        <f>IF(D11=0,"—",C11/D11)</f>
        <v/>
      </c>
      <c r="F11" s="7">
        <f>IF(B11&lt;6,"Incomplete",IF(E11&lt;0.25,"1 Unprepared",IF(E11&lt;0.45,"2 Experimental",IF(E11&lt;0.65,"3 Governed pilot",IF(E11&lt;0.85,"4 Earned scale","5 Institutional")))))</f>
        <v/>
      </c>
    </row>
    <row r="13">
      <c r="A13" s="12" t="inlineStr">
        <is>
          <t>TOTAL</t>
        </is>
      </c>
      <c r="B13" s="12">
        <f>SUM(B6:B11)</f>
        <v/>
      </c>
      <c r="C13" s="12">
        <f>SUM(C6:C11)</f>
        <v/>
      </c>
      <c r="D13" s="12">
        <f>SUM(D6:D11)</f>
        <v/>
      </c>
      <c r="E13" s="13">
        <f>IF(D13=0,"—",C13/D13)</f>
        <v/>
      </c>
      <c r="F13" s="12">
        <f>IF(B13&lt;36,"Incomplete — do not over-interpret",IF(E13&lt;0.25,"1 Unprepared",IF(E13&lt;0.45,"2 Experimental",IF(E13&lt;0.65,"3 Governed pilot",IF(E13&lt;0.85,"4 Earned scale","5 Institutional")))))</f>
        <v/>
      </c>
    </row>
    <row r="15">
      <c r="A15" t="inlineStr">
        <is>
          <t>Hard brake</t>
        </is>
      </c>
      <c r="B15" s="14">
        <f>IF(Answers!D18="","Unanswered CA-02",IF(Answers!D18&lt;=1,"BRAKE — SoD too weak to interpret Agent readiness as execute-ready","OK — SoD not at 0–1"))</f>
        <v/>
      </c>
    </row>
    <row r="17">
      <c r="A17" t="inlineStr">
        <is>
          <t>Out-of-range scores</t>
        </is>
      </c>
      <c r="B17">
        <f>COUNTIFS(Answers!D6:D41,"&gt;4")+COUNTIFS(Answers!D6:D41,"&lt;0")</f>
        <v/>
      </c>
    </row>
    <row r="19" ht="36" customHeight="1">
      <c r="A19" s="10" t="inlineStr">
        <is>
          <t>Maturity bands are interpretive aids, not a certification. A high score is not permission to pay autonomously.</t>
        </is>
      </c>
    </row>
  </sheetData>
  <mergeCells count="5">
    <mergeCell ref="A2:F2"/>
    <mergeCell ref="B15:F15"/>
    <mergeCell ref="A1:F1"/>
    <mergeCell ref="A19:H19"/>
    <mergeCell ref="A3:F3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36" customWidth="1" min="4" max="4"/>
    <col width="18" customWidth="1" min="5" max="5"/>
    <col width="36" customWidth="1" min="6" max="6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Opportunity heatmap</t>
        </is>
      </c>
    </row>
    <row r="3" ht="18" customHeight="1">
      <c r="A3" s="3" t="inlineStr">
        <is>
          <t>Buyer-scored. Volume × pain × control risk × data readiness. Not a vendor ranking.</t>
        </is>
      </c>
    </row>
    <row r="5" ht="28" customHeight="1">
      <c r="A5" s="6" t="inlineStr">
        <is>
          <t>Candidate (first-wave agent)</t>
        </is>
      </c>
      <c r="B5" s="6" t="inlineStr">
        <is>
          <t>Volume 1–5</t>
        </is>
      </c>
      <c r="C5" s="6" t="inlineStr">
        <is>
          <t>Pain 1–5</t>
        </is>
      </c>
      <c r="D5" s="6" t="inlineStr">
        <is>
          <t>Control risk 1–5 (higher = more sensitive)</t>
        </is>
      </c>
      <c r="E5" s="6" t="inlineStr">
        <is>
          <t>Data readiness 1–5</t>
        </is>
      </c>
      <c r="F5" s="6" t="inlineStr">
        <is>
          <t>Priority index (vol×pain×data / risk)</t>
        </is>
      </c>
    </row>
    <row r="6">
      <c r="A6" s="7" t="inlineStr">
        <is>
          <t>01 Invoice Intake</t>
        </is>
      </c>
      <c r="B6" s="8" t="n"/>
      <c r="C6" s="8" t="n"/>
      <c r="D6" s="8" t="n"/>
      <c r="E6" s="8" t="n"/>
      <c r="F6" s="7">
        <f>IF(OR(B6="",C6="",D6="",E6=""),"",IF(D6=0,"", (B6*C6*E6)/D6))</f>
        <v/>
      </c>
    </row>
    <row r="7">
      <c r="A7" s="7" t="inlineStr">
        <is>
          <t>02 Invoice Validation</t>
        </is>
      </c>
      <c r="B7" s="8" t="n"/>
      <c r="C7" s="8" t="n"/>
      <c r="D7" s="8" t="n"/>
      <c r="E7" s="8" t="n"/>
      <c r="F7" s="7">
        <f>IF(OR(B7="",C7="",D7="",E7=""),"",IF(D7=0,"", (B7*C7*E7)/D7))</f>
        <v/>
      </c>
    </row>
    <row r="8">
      <c r="A8" s="7" t="inlineStr">
        <is>
          <t>03 Matching</t>
        </is>
      </c>
      <c r="B8" s="8" t="n"/>
      <c r="C8" s="8" t="n"/>
      <c r="D8" s="8" t="n"/>
      <c r="E8" s="8" t="n"/>
      <c r="F8" s="7">
        <f>IF(OR(B8="",C8="",D8="",E8=""),"",IF(D8=0,"", (B8*C8*E8)/D8))</f>
        <v/>
      </c>
    </row>
    <row r="9">
      <c r="A9" s="7" t="inlineStr">
        <is>
          <t>04 Exception Triage</t>
        </is>
      </c>
      <c r="B9" s="8" t="n"/>
      <c r="C9" s="8" t="n"/>
      <c r="D9" s="8" t="n"/>
      <c r="E9" s="8" t="n"/>
      <c r="F9" s="7">
        <f>IF(OR(B9="",C9="",D9="",E9=""),"",IF(D9=0,"", (B9*C9*E9)/D9))</f>
        <v/>
      </c>
    </row>
    <row r="10">
      <c r="A10" s="7" t="inlineStr">
        <is>
          <t>05 Goods Receipt</t>
        </is>
      </c>
      <c r="B10" s="8" t="n"/>
      <c r="C10" s="8" t="n"/>
      <c r="D10" s="8" t="n"/>
      <c r="E10" s="8" t="n"/>
      <c r="F10" s="7">
        <f>IF(OR(B10="",C10="",D10="",E10=""),"",IF(D10=0,"", (B10*C10*E10)/D10))</f>
        <v/>
      </c>
    </row>
    <row r="11">
      <c r="A11" s="7" t="inlineStr">
        <is>
          <t>07 Approval</t>
        </is>
      </c>
      <c r="B11" s="8" t="n"/>
      <c r="C11" s="8" t="n"/>
      <c r="D11" s="8" t="n"/>
      <c r="E11" s="8" t="n"/>
      <c r="F11" s="7">
        <f>IF(OR(B11="",C11="",D11="",E11=""),"",IF(D11=0,"", (B11*C11*E11)/D11))</f>
        <v/>
      </c>
    </row>
    <row r="12">
      <c r="A12" s="7" t="inlineStr">
        <is>
          <t>08 Supplier Resolution</t>
        </is>
      </c>
      <c r="B12" s="8" t="n"/>
      <c r="C12" s="8" t="n"/>
      <c r="D12" s="8" t="n"/>
      <c r="E12" s="8" t="n"/>
      <c r="F12" s="7">
        <f>IF(OR(B12="",C12="",D12="",E12=""),"",IF(D12=0,"", (B12*C12*E12)/D12))</f>
        <v/>
      </c>
    </row>
    <row r="13">
      <c r="A13" s="7" t="inlineStr">
        <is>
          <t>09 Internal Follow-Up</t>
        </is>
      </c>
      <c r="B13" s="8" t="n"/>
      <c r="C13" s="8" t="n"/>
      <c r="D13" s="8" t="n"/>
      <c r="E13" s="8" t="n"/>
      <c r="F13" s="7">
        <f>IF(OR(B13="",C13="",D13="",E13=""),"",IF(D13=0,"", (B13*C13*E13)/D13))</f>
        <v/>
      </c>
    </row>
    <row r="14">
      <c r="A14" s="7" t="inlineStr">
        <is>
          <t>10 Duplicate &amp; Anomaly</t>
        </is>
      </c>
      <c r="B14" s="8" t="n"/>
      <c r="C14" s="8" t="n"/>
      <c r="D14" s="8" t="n"/>
      <c r="E14" s="8" t="n"/>
      <c r="F14" s="7">
        <f>IF(OR(B14="",C14="",D14="",E14=""),"",IF(D14=0,"", (B14*C14*E14)/D14))</f>
        <v/>
      </c>
    </row>
    <row r="15">
      <c r="A15" s="7" t="inlineStr">
        <is>
          <t>16 Orchestrator</t>
        </is>
      </c>
      <c r="B15" s="8" t="n"/>
      <c r="C15" s="8" t="n"/>
      <c r="D15" s="8" t="n"/>
      <c r="E15" s="8" t="n"/>
      <c r="F15" s="7">
        <f>IF(OR(B15="",C15="",D15="",E15=""),"",IF(D15=0,"", (B15*C15*E15)/D15))</f>
        <v/>
      </c>
    </row>
    <row r="17" ht="36" customHeight="1">
      <c r="A17" s="10" t="inlineStr">
        <is>
          <t>Higher index = better first-slice candidate only if control risk is honestly scored. Do not game risk down to force Intake into execute.</t>
        </is>
      </c>
    </row>
  </sheetData>
  <mergeCells count="4">
    <mergeCell ref="A3:F3"/>
    <mergeCell ref="A2:F2"/>
    <mergeCell ref="A1:F1"/>
    <mergeCell ref="A17:H17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32" customWidth="1" min="4" max="4"/>
    <col width="22" customWidth="1" min="5" max="5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Baseline KPI worksheet</t>
        </is>
      </c>
    </row>
    <row r="3" ht="18" customHeight="1">
      <c r="A3" s="3" t="inlineStr">
        <is>
          <t>Buyer fills actuals. No fake industry targets.</t>
        </is>
      </c>
    </row>
    <row r="5" ht="28" customHeight="1">
      <c r="A5" s="6" t="inlineStr">
        <is>
          <t>KPI</t>
        </is>
      </c>
      <c r="B5" s="6" t="inlineStr">
        <is>
          <t>Your figure</t>
        </is>
      </c>
      <c r="C5" s="6" t="inlineStr">
        <is>
          <t>Period</t>
        </is>
      </c>
      <c r="D5" s="6" t="inlineStr">
        <is>
          <t>Source system / extract</t>
        </is>
      </c>
      <c r="E5" s="6" t="inlineStr">
        <is>
          <t>Owner</t>
        </is>
      </c>
    </row>
    <row r="6">
      <c r="A6" s="7" t="inlineStr">
        <is>
          <t>Monthly invoice volume</t>
        </is>
      </c>
      <c r="B6" s="8" t="n"/>
      <c r="C6" s="7" t="n"/>
      <c r="D6" s="7" t="n"/>
      <c r="E6" s="7" t="n"/>
    </row>
    <row r="7">
      <c r="A7" s="7" t="inlineStr">
        <is>
          <t>Exception rate %</t>
        </is>
      </c>
      <c r="B7" s="8" t="n"/>
      <c r="C7" s="7" t="n"/>
      <c r="D7" s="7" t="n"/>
      <c r="E7" s="7" t="n"/>
    </row>
    <row r="8">
      <c r="A8" s="7" t="inlineStr">
        <is>
          <t>Straight-through / first-pass yield % (define locally)</t>
        </is>
      </c>
      <c r="B8" s="8" t="n"/>
      <c r="C8" s="7" t="n"/>
      <c r="D8" s="7" t="n"/>
      <c r="E8" s="7" t="n"/>
    </row>
    <row r="9">
      <c r="A9" s="7" t="inlineStr">
        <is>
          <t>Median days invoice receipt → post</t>
        </is>
      </c>
      <c r="B9" s="8" t="n"/>
      <c r="C9" s="7" t="n"/>
      <c r="D9" s="7" t="n"/>
      <c r="E9" s="7" t="n"/>
    </row>
    <row r="10">
      <c r="A10" s="7" t="inlineStr">
        <is>
          <t>Aged exceptions &gt; 15 days (count)</t>
        </is>
      </c>
      <c r="B10" s="8" t="n"/>
      <c r="C10" s="7" t="n"/>
      <c r="D10" s="7" t="n"/>
      <c r="E10" s="7" t="n"/>
    </row>
    <row r="11">
      <c r="A11" s="7" t="inlineStr">
        <is>
          <t>Duplicate invoices detected pre-payment (count)</t>
        </is>
      </c>
      <c r="B11" s="8" t="n"/>
      <c r="C11" s="7" t="n"/>
      <c r="D11" s="7" t="n"/>
      <c r="E11" s="7" t="n"/>
    </row>
    <row r="12">
      <c r="A12" s="7" t="inlineStr">
        <is>
          <t>Cost per invoice (fully loaded proxy)</t>
        </is>
      </c>
      <c r="B12" s="8" t="n"/>
      <c r="C12" s="7" t="n"/>
      <c r="D12" s="7" t="n"/>
      <c r="E12" s="7" t="n"/>
    </row>
    <row r="13">
      <c r="A13" s="7" t="inlineStr">
        <is>
          <t>AP FTE (or hours) on exceptions</t>
        </is>
      </c>
      <c r="B13" s="8" t="n"/>
      <c r="C13" s="7" t="n"/>
      <c r="D13" s="7" t="n"/>
      <c r="E13" s="7" t="n"/>
    </row>
    <row r="14">
      <c r="A14" s="7" t="inlineStr">
        <is>
          <t>On-time payment %</t>
        </is>
      </c>
      <c r="B14" s="8" t="n"/>
      <c r="C14" s="7" t="n"/>
      <c r="D14" s="7" t="n"/>
      <c r="E14" s="7" t="n"/>
    </row>
    <row r="15">
      <c r="A15" s="7" t="inlineStr">
        <is>
          <t>Missing GR open items (count)</t>
        </is>
      </c>
      <c r="B15" s="8" t="n"/>
      <c r="C15" s="7" t="n"/>
      <c r="D15" s="7" t="n"/>
      <c r="E15" s="7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40" customWidth="1" min="4" max="4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Business-case starter (inputs only)</t>
        </is>
      </c>
    </row>
    <row r="3" ht="18" customHeight="1">
      <c r="A3" s="3" t="inlineStr">
        <is>
          <t>No promised savings. Feeds the Professional model later.</t>
        </is>
      </c>
    </row>
    <row r="5" ht="28" customHeight="1">
      <c r="A5" s="6" t="inlineStr">
        <is>
          <t>Input</t>
        </is>
      </c>
      <c r="B5" s="6" t="inlineStr">
        <is>
          <t>Value</t>
        </is>
      </c>
      <c r="C5" s="6" t="inlineStr">
        <is>
          <t>Unit</t>
        </is>
      </c>
      <c r="D5" s="6" t="inlineStr">
        <is>
          <t>Notes</t>
        </is>
      </c>
    </row>
    <row r="6">
      <c r="A6" s="7" t="inlineStr">
        <is>
          <t>Monthly invoices</t>
        </is>
      </c>
      <c r="B6" s="8" t="inlineStr"/>
      <c r="C6" s="7" t="inlineStr">
        <is>
          <t>count</t>
        </is>
      </c>
      <c r="D6" s="7" t="inlineStr">
        <is>
          <t>[BUYER]</t>
        </is>
      </c>
    </row>
    <row r="7">
      <c r="A7" s="7" t="inlineStr">
        <is>
          <t>AP operational FTE</t>
        </is>
      </c>
      <c r="B7" s="8" t="inlineStr"/>
      <c r="C7" s="7" t="inlineStr">
        <is>
          <t>FTE</t>
        </is>
      </c>
      <c r="D7" s="7" t="inlineStr">
        <is>
          <t>Processors + exception + query</t>
        </is>
      </c>
    </row>
    <row r="8">
      <c r="A8" s="7" t="inlineStr">
        <is>
          <t>Fully loaded cost per FTE / year</t>
        </is>
      </c>
      <c r="B8" s="8" t="inlineStr"/>
      <c r="C8" s="7" t="inlineStr">
        <is>
          <t>currency</t>
        </is>
      </c>
      <c r="D8" s="7" t="inlineStr">
        <is>
          <t>Use local loaded rate</t>
        </is>
      </c>
    </row>
    <row r="9">
      <c r="A9" s="7" t="inlineStr">
        <is>
          <t>Manual-touch share</t>
        </is>
      </c>
      <c r="B9" s="8" t="inlineStr"/>
      <c r="C9" s="7" t="inlineStr">
        <is>
          <t>0–1</t>
        </is>
      </c>
      <c r="D9" s="7" t="inlineStr">
        <is>
          <t>Invoices with ≥1 human touch</t>
        </is>
      </c>
    </row>
    <row r="10">
      <c r="A10" s="7" t="inlineStr">
        <is>
          <t>Exception rate</t>
        </is>
      </c>
      <c r="B10" s="8" t="inlineStr"/>
      <c r="C10" s="7" t="inlineStr">
        <is>
          <t>0–1</t>
        </is>
      </c>
      <c r="D10" s="7" t="inlineStr">
        <is>
          <t>From your queue, not a blog</t>
        </is>
      </c>
    </row>
    <row r="11">
      <c r="A11" s="7" t="inlineStr">
        <is>
          <t>Avg resolution minutes</t>
        </is>
      </c>
      <c r="B11" s="8" t="inlineStr"/>
      <c r="C11" s="7" t="inlineStr">
        <is>
          <t>minutes</t>
        </is>
      </c>
      <c r="D11" s="7" t="inlineStr">
        <is>
          <t>Top families if overall unknown</t>
        </is>
      </c>
    </row>
    <row r="12">
      <c r="A12" s="7" t="inlineStr">
        <is>
          <t>AI / tool cost / month (expected)</t>
        </is>
      </c>
      <c r="B12" s="8" t="inlineStr"/>
      <c r="C12" s="7" t="inlineStr">
        <is>
          <t>currency</t>
        </is>
      </c>
      <c r="D12" s="7" t="inlineStr">
        <is>
          <t>Leave blank if unknown</t>
        </is>
      </c>
    </row>
    <row r="13">
      <c r="A13" s="7" t="inlineStr">
        <is>
          <t>Implementation hours (expected)</t>
        </is>
      </c>
      <c r="B13" s="8" t="inlineStr"/>
      <c r="C13" s="7" t="inlineStr">
        <is>
          <t>hours</t>
        </is>
      </c>
      <c r="D13" s="7" t="inlineStr">
        <is>
          <t>Internal + external</t>
        </is>
      </c>
    </row>
    <row r="15" ht="36" customHeight="1">
      <c r="A15" s="10" t="inlineStr">
        <is>
          <t>Conservative / Base / Upside efficiency ranges belong in the Professional ROI workbook. This sheet only captures inputs.</t>
        </is>
      </c>
    </row>
  </sheetData>
  <mergeCells count="4">
    <mergeCell ref="A1:D1"/>
    <mergeCell ref="A3:D3"/>
    <mergeCell ref="A2:D2"/>
    <mergeCell ref="A15:H15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