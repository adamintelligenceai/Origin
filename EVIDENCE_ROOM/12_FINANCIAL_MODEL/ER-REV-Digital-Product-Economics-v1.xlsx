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</fonts>
  <fills count="3">
    <fill>
      <patternFill/>
    </fill>
    <fill>
      <patternFill patternType="gray125"/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Evidence Room — digital product economics</t>
        </is>
      </c>
    </row>
    <row r="3">
      <c r="A3" s="3" t="inlineStr">
        <is>
          <t>Internal. Units × price − LS fees. Not a forecast you should raise money on.</t>
        </is>
      </c>
    </row>
    <row r="5">
      <c r="A5" s="4" t="inlineStr">
        <is>
          <t>SKU</t>
        </is>
      </c>
      <c r="B5" s="4" t="inlineStr">
        <is>
          <t>Price</t>
        </is>
      </c>
      <c r="C5" s="4" t="inlineStr">
        <is>
          <t>Q1 units C</t>
        </is>
      </c>
      <c r="D5" s="4" t="inlineStr">
        <is>
          <t>Q1 units B</t>
        </is>
      </c>
      <c r="E5" s="4" t="inlineStr">
        <is>
          <t>Q1 units U</t>
        </is>
      </c>
      <c r="F5" s="4" t="inlineStr">
        <is>
          <t>Fee rate used</t>
        </is>
      </c>
      <c r="G5" s="4" t="inlineStr">
        <is>
          <t>Net/unit (ex-tax approx)</t>
        </is>
      </c>
    </row>
    <row r="6">
      <c r="A6" s="5" t="inlineStr">
        <is>
          <t>ER-0 Diagnostic</t>
        </is>
      </c>
      <c r="B6" s="5" t="n">
        <v>0</v>
      </c>
      <c r="C6" s="5" t="n">
        <v>400</v>
      </c>
      <c r="D6" s="5" t="n">
        <v>900</v>
      </c>
      <c r="E6" s="5" t="n">
        <v>1800</v>
      </c>
      <c r="F6" s="5" t="n">
        <v>0</v>
      </c>
      <c r="G6" s="5" t="n">
        <v>0</v>
      </c>
    </row>
    <row r="7">
      <c r="A7" s="5" t="inlineStr">
        <is>
          <t>ER-1 Starter</t>
        </is>
      </c>
      <c r="B7" s="5" t="n">
        <v>79</v>
      </c>
      <c r="C7" s="5" t="n">
        <v>20</v>
      </c>
      <c r="D7" s="5" t="n">
        <v>45</v>
      </c>
      <c r="E7" s="5" t="n">
        <v>80</v>
      </c>
      <c r="F7" s="5" t="n">
        <v>0.07000000000000001</v>
      </c>
      <c r="G7" s="5" t="n">
        <v>73</v>
      </c>
    </row>
    <row r="8">
      <c r="A8" s="5" t="inlineStr">
        <is>
          <t>ER-2 Professional</t>
        </is>
      </c>
      <c r="B8" s="5" t="n">
        <v>199</v>
      </c>
      <c r="C8" s="5" t="n">
        <v>25</v>
      </c>
      <c r="D8" s="5" t="n">
        <v>60</v>
      </c>
      <c r="E8" s="5" t="n">
        <v>120</v>
      </c>
      <c r="F8" s="5" t="n">
        <v>0.07000000000000001</v>
      </c>
      <c r="G8" s="5" t="n">
        <v>185</v>
      </c>
    </row>
    <row r="9">
      <c r="A9" s="5" t="inlineStr">
        <is>
          <t>ER-3 Team</t>
        </is>
      </c>
      <c r="B9" s="5" t="n">
        <v>499</v>
      </c>
      <c r="C9" s="5" t="n">
        <v>6</v>
      </c>
      <c r="D9" s="5" t="n">
        <v>15</v>
      </c>
      <c r="E9" s="5" t="n">
        <v>30</v>
      </c>
      <c r="F9" s="5" t="n">
        <v>0.07000000000000001</v>
      </c>
      <c r="G9" s="5" t="n">
        <v>464</v>
      </c>
    </row>
    <row r="10">
      <c r="A10" s="5" t="inlineStr">
        <is>
          <t>ER-4 Blueprint</t>
        </is>
      </c>
      <c r="B10" s="5" t="n">
        <v>2000</v>
      </c>
      <c r="C10" s="5" t="n">
        <v>1</v>
      </c>
      <c r="D10" s="5" t="n">
        <v>4</v>
      </c>
      <c r="E10" s="5" t="n">
        <v>8</v>
      </c>
      <c r="F10" s="5" t="n">
        <v>0.07000000000000001</v>
      </c>
      <c r="G10" s="5" t="n">
        <v>1860</v>
      </c>
    </row>
    <row r="12">
      <c r="A12" t="inlineStr">
        <is>
          <t>Q1 revenue base (ex-tax, approx)</t>
        </is>
      </c>
      <c r="B12">
        <f>B7*C7+B8*C8+B9*C9+B10*C10</f>
        <v/>
      </c>
    </row>
    <row r="13">
      <c r="A13" t="inlineStr">
        <is>
          <t>Conservative Q1 net</t>
        </is>
      </c>
      <c r="B13">
        <f>G7*C7+G8*C8+G9*C9+G10*C10</f>
        <v/>
      </c>
    </row>
    <row r="14">
      <c r="A14" t="inlineStr">
        <is>
          <t>Base Q1 net</t>
        </is>
      </c>
      <c r="B14">
        <f>G7*D7+G8*D8+G9*D9+G10*D10</f>
        <v/>
      </c>
    </row>
    <row r="15">
      <c r="A15" t="inlineStr">
        <is>
          <t>Upside Q1 net</t>
        </is>
      </c>
      <c r="B15">
        <f>G7*E7+G8*E8+G9*E9+G10*E10</f>
        <v/>
      </c>
    </row>
    <row r="17">
      <c r="A17" t="inlineStr">
        <is>
          <t>Notes: fee ~7% blends 5%+$0.50+intl on a typical mix; recalculate with live LS. Fulfilment cost ≈ 0. Diagnostic is a lead cost (email tool), not revenue. Time cost of Blueprint fulfilment is not in net — staff it or do not sell it.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