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alibri"/>
      <color rgb="001A1C19"/>
      <sz val="11"/>
    </font>
    <font>
      <name val="Calibri"/>
      <i val="1"/>
      <color rgb="005C6158"/>
      <sz val="9"/>
    </font>
  </fonts>
  <fills count="5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3" fontId="0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12" customWidth="1" min="4" max="4"/>
    <col width="12" customWidth="1" min="5" max="5"/>
    <col width="16" customWidth="1" min="6" max="6"/>
    <col width="12" customWidth="1" min="7" max="7"/>
    <col width="20" customWidth="1" min="8" max="8"/>
    <col width="14" customWidth="1" min="9" max="9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Benefits realisation tracker</t>
        </is>
      </c>
    </row>
    <row r="3" ht="18" customHeight="1">
      <c r="A3" s="3" t="inlineStr">
        <is>
          <t>Unsigned savings do not enter an exec pack.</t>
        </is>
      </c>
    </row>
    <row r="5" ht="28" customHeight="1">
      <c r="A5" s="4" t="inlineStr">
        <is>
          <t>Benefit ID</t>
        </is>
      </c>
      <c r="B5" s="4" t="inlineStr">
        <is>
          <t>Type (capacity / cash / control)</t>
        </is>
      </c>
      <c r="C5" s="4" t="inlineStr">
        <is>
          <t>Description</t>
        </is>
      </c>
      <c r="D5" s="4" t="inlineStr">
        <is>
          <t>Modelled $</t>
        </is>
      </c>
      <c r="E5" s="4" t="inlineStr">
        <is>
          <t>Validated $</t>
        </is>
      </c>
      <c r="F5" s="4" t="inlineStr">
        <is>
          <t>Controller signed</t>
        </is>
      </c>
      <c r="G5" s="4" t="inlineStr">
        <is>
          <t>Date signed</t>
        </is>
      </c>
      <c r="H5" s="4" t="inlineStr">
        <is>
          <t>Evidence</t>
        </is>
      </c>
      <c r="I5" s="4" t="inlineStr">
        <is>
          <t>Status</t>
        </is>
      </c>
    </row>
    <row r="6">
      <c r="A6" s="5" t="inlineStr">
        <is>
          <t>BEN-01</t>
        </is>
      </c>
      <c r="B6" s="5" t="inlineStr">
        <is>
          <t>capacity</t>
        </is>
      </c>
      <c r="C6" s="5" t="inlineStr">
        <is>
          <t>Exception minutes down on EX-GR-001 slice</t>
        </is>
      </c>
      <c r="D6" s="6" t="n">
        <v>0</v>
      </c>
      <c r="E6" s="7" t="n">
        <v>0</v>
      </c>
      <c r="F6" s="8" t="inlineStr">
        <is>
          <t>No</t>
        </is>
      </c>
      <c r="G6" s="5" t="inlineStr"/>
      <c r="H6" s="5" t="inlineStr"/>
      <c r="I6" s="5" t="inlineStr">
        <is>
          <t>Hypothesis</t>
        </is>
      </c>
    </row>
    <row r="7">
      <c r="A7" s="5" t="inlineStr">
        <is>
          <t>BEN-02</t>
        </is>
      </c>
      <c r="B7" s="5" t="inlineStr">
        <is>
          <t>control</t>
        </is>
      </c>
      <c r="C7" s="5" t="inlineStr">
        <is>
          <t>Duplicate last-look before proposal (count of holds)</t>
        </is>
      </c>
      <c r="D7" s="6" t="n">
        <v>0</v>
      </c>
      <c r="E7" s="7" t="n">
        <v>0</v>
      </c>
      <c r="F7" s="8" t="inlineStr">
        <is>
          <t>No</t>
        </is>
      </c>
      <c r="G7" s="5" t="inlineStr"/>
      <c r="H7" s="5" t="inlineStr"/>
      <c r="I7" s="5" t="inlineStr">
        <is>
          <t>Hypothesis</t>
        </is>
      </c>
    </row>
    <row r="8">
      <c r="A8" s="5" t="inlineStr">
        <is>
          <t>BEN-03</t>
        </is>
      </c>
      <c r="B8" s="5" t="inlineStr">
        <is>
          <t>cash</t>
        </is>
      </c>
      <c r="C8" s="5" t="inlineStr">
        <is>
          <t>Avoided late fees — only if I-08 known</t>
        </is>
      </c>
      <c r="D8" s="6" t="n">
        <v>0</v>
      </c>
      <c r="E8" s="7" t="n">
        <v>0</v>
      </c>
      <c r="F8" s="8" t="inlineStr">
        <is>
          <t>No</t>
        </is>
      </c>
      <c r="G8" s="5" t="inlineStr"/>
      <c r="H8" s="5" t="inlineStr"/>
      <c r="I8" s="5" t="inlineStr">
        <is>
          <t>Not started</t>
        </is>
      </c>
    </row>
    <row r="10">
      <c r="A10" t="inlineStr">
        <is>
          <t>Validated total (signed only)</t>
        </is>
      </c>
      <c r="B10" s="9">
        <f>SUMIF(F6:F20,"Yes",E6:E20)</f>
        <v/>
      </c>
    </row>
    <row r="12" ht="36" customHeight="1">
      <c r="A12" s="10" t="inlineStr">
        <is>
          <t>Modelled $ may come from the business-case workbook. It is not a result.</t>
        </is>
      </c>
    </row>
  </sheetData>
  <mergeCells count="4">
    <mergeCell ref="A1:I1"/>
    <mergeCell ref="A3:I3"/>
    <mergeCell ref="A2:I2"/>
    <mergeCell ref="A12:H12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