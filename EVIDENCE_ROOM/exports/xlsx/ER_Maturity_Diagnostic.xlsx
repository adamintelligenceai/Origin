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" sheetId="1" state="visible" r:id="rId1"/>
    <sheet name="Scoring Summary" sheetId="2" state="visible" r:id="rId2"/>
    <sheet name="Level Guide" sheetId="3" state="visible" r:id="rId3"/>
    <sheet name="Notes" sheetId="4" state="visible" r:id="rId4"/>
    <sheet name="Disclai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B1F2A"/>
      <sz val="18"/>
    </font>
    <font>
      <name val="Calibri"/>
      <b val="1"/>
      <color rgb="000B1F2A"/>
      <sz val="16"/>
    </font>
    <font>
      <name val="Calibri"/>
      <i val="1"/>
      <color rgb="001F5C5C"/>
      <sz val="10"/>
    </font>
    <font>
      <name val="Calibri"/>
      <b val="1"/>
      <color rgb="00C47A2C"/>
      <sz val="10"/>
    </font>
    <font>
      <name val="Calibri"/>
      <color rgb="003D4F5A"/>
      <sz val="10"/>
    </font>
    <font>
      <name val="Calibri"/>
      <b val="1"/>
      <color rgb="00FFFFFF"/>
      <sz val="11"/>
    </font>
    <font>
      <name val="Calibri"/>
      <b val="1"/>
      <color rgb="000B1F2A"/>
      <sz val="10"/>
    </font>
    <font>
      <name val="Calibri"/>
      <b val="1"/>
      <color rgb="001F5C5C"/>
      <sz val="10"/>
    </font>
    <font>
      <name val="Calibri"/>
      <i val="1"/>
      <color rgb="008A8580"/>
      <sz val="8"/>
    </font>
    <font>
      <name val="Calibri"/>
      <i val="1"/>
      <color rgb="008A8580"/>
      <sz val="9"/>
    </font>
  </fonts>
  <fills count="5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0B1F2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7" fillId="0" borderId="1" pivotButton="0" quotePrefix="0" xfId="0"/>
    <xf numFmtId="0" fontId="8" fillId="0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9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4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57" customWidth="1" min="3" max="3"/>
    <col width="14" customWidth="1" min="4" max="4"/>
    <col width="37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ER Maturity Diagnostic — 35 questions</t>
        </is>
      </c>
    </row>
    <row r="3">
      <c r="A3" s="3" t="inlineStr">
        <is>
          <t>Score 0–4 each; maturity auto-calcs</t>
        </is>
      </c>
    </row>
    <row r="4">
      <c r="A4" s="4" t="inlineStr">
        <is>
          <t>Agents that earn responsibility.</t>
        </is>
      </c>
    </row>
    <row r="5">
      <c r="A5" s="5" t="inlineStr">
        <is>
          <t>Scoring: 0 Absent · 1 Ad hoc · 2 Emerging · 3 Established · 4 Managed</t>
        </is>
      </c>
    </row>
    <row r="6">
      <c r="A6" s="6" t="inlineStr">
        <is>
          <t>Dimension</t>
        </is>
      </c>
      <c r="B6" s="6" t="inlineStr">
        <is>
          <t>ID</t>
        </is>
      </c>
      <c r="C6" s="6" t="inlineStr">
        <is>
          <t>Statement</t>
        </is>
      </c>
      <c r="D6" s="6" t="inlineStr">
        <is>
          <t>Score (0–4)</t>
        </is>
      </c>
      <c r="E6" s="6" t="inlineStr">
        <is>
          <t>Evidence / notes</t>
        </is>
      </c>
    </row>
    <row r="7">
      <c r="A7" s="7" t="inlineStr">
        <is>
          <t>Process</t>
        </is>
      </c>
      <c r="B7" s="8" t="inlineStr">
        <is>
          <t>P1</t>
        </is>
      </c>
      <c r="C7" s="9" t="inlineStr">
        <is>
          <t>Invoice intake channels are documented with an owner for each channel.</t>
        </is>
      </c>
      <c r="D7" s="10" t="n">
        <v>3</v>
      </c>
      <c r="E7" s="11" t="inlineStr">
        <is>
          <t>ILLUSTRATIVE sample score — replace</t>
        </is>
      </c>
    </row>
    <row r="8">
      <c r="A8" s="7" t="inlineStr">
        <is>
          <t>Process</t>
        </is>
      </c>
      <c r="B8" s="8" t="inlineStr">
        <is>
          <t>P2</t>
        </is>
      </c>
      <c r="C8" s="9" t="inlineStr">
        <is>
          <t>Written standard for invoice completeness before AP queue entry.</t>
        </is>
      </c>
      <c r="D8" s="10" t="n">
        <v>2</v>
      </c>
      <c r="E8" s="11" t="inlineStr">
        <is>
          <t>ILLUSTRATIVE sample score — replace</t>
        </is>
      </c>
    </row>
    <row r="9">
      <c r="A9" s="7" t="inlineStr">
        <is>
          <t>Process</t>
        </is>
      </c>
      <c r="B9" s="8" t="inlineStr">
        <is>
          <t>P3</t>
        </is>
      </c>
      <c r="C9" s="9" t="inlineStr">
        <is>
          <t>PO and non-PO paths separated with different handling rules.</t>
        </is>
      </c>
      <c r="D9" s="10" t="n">
        <v>3</v>
      </c>
      <c r="E9" s="11" t="inlineStr">
        <is>
          <t>ILLUSTRATIVE sample score — replace</t>
        </is>
      </c>
    </row>
    <row r="10">
      <c r="A10" s="7" t="inlineStr">
        <is>
          <t>Process</t>
        </is>
      </c>
      <c r="B10" s="8" t="inlineStr">
        <is>
          <t>P4</t>
        </is>
      </c>
      <c r="C10" s="9" t="inlineStr">
        <is>
          <t>Exception types catalogued with defined owners.</t>
        </is>
      </c>
      <c r="D10" s="10" t="n">
        <v>2</v>
      </c>
      <c r="E10" s="11" t="inlineStr">
        <is>
          <t>ILLUSTRATIVE sample score — replace</t>
        </is>
      </c>
    </row>
    <row r="11">
      <c r="A11" s="7" t="inlineStr">
        <is>
          <t>Process</t>
        </is>
      </c>
      <c r="B11" s="8" t="inlineStr">
        <is>
          <t>P5</t>
        </is>
      </c>
      <c r="C11" s="9" t="inlineStr">
        <is>
          <t>Approval matrices current and applied consistently.</t>
        </is>
      </c>
      <c r="D11" s="10" t="n">
        <v>3</v>
      </c>
      <c r="E11" s="11" t="inlineStr">
        <is>
          <t>ILLUSTRATIVE sample score — replace</t>
        </is>
      </c>
    </row>
    <row r="12">
      <c r="A12" s="7" t="inlineStr">
        <is>
          <t>Process</t>
        </is>
      </c>
      <c r="B12" s="8" t="inlineStr">
        <is>
          <t>P6</t>
        </is>
      </c>
      <c r="C12" s="9" t="inlineStr">
        <is>
          <t>Payment runs follow published calendar with cut-offs and holds.</t>
        </is>
      </c>
      <c r="D12" s="10" t="n">
        <v>2</v>
      </c>
      <c r="E12" s="11" t="inlineStr">
        <is>
          <t>ILLUSTRATIVE sample score — replace</t>
        </is>
      </c>
    </row>
    <row r="13">
      <c r="A13" s="7" t="inlineStr">
        <is>
          <t>Process</t>
        </is>
      </c>
      <c r="B13" s="8" t="inlineStr">
        <is>
          <t>P7</t>
        </is>
      </c>
      <c r="C13" s="9" t="inlineStr">
        <is>
          <t>Period-close AP tasks are checklist-driven.</t>
        </is>
      </c>
      <c r="D13" s="10" t="n">
        <v>2</v>
      </c>
      <c r="E13" s="11" t="inlineStr">
        <is>
          <t>ILLUSTRATIVE sample score — replace</t>
        </is>
      </c>
    </row>
    <row r="14">
      <c r="A14" s="7" t="inlineStr">
        <is>
          <t>Data</t>
        </is>
      </c>
      <c r="B14" s="8" t="inlineStr">
        <is>
          <t>D1</t>
        </is>
      </c>
      <c r="C14" s="9" t="inlineStr">
        <is>
          <t>Vendor master payment fields defined and enforced.</t>
        </is>
      </c>
      <c r="D14" s="10" t="n">
        <v>3</v>
      </c>
      <c r="E14" s="11" t="inlineStr">
        <is>
          <t>ILLUSTRATIVE sample score — replace</t>
        </is>
      </c>
    </row>
    <row r="15">
      <c r="A15" s="7" t="inlineStr">
        <is>
          <t>Data</t>
        </is>
      </c>
      <c r="B15" s="8" t="inlineStr">
        <is>
          <t>D2</t>
        </is>
      </c>
      <c r="C15" s="9" t="inlineStr">
        <is>
          <t>Duplicate vendor records reviewed on a schedule.</t>
        </is>
      </c>
      <c r="D15" s="10" t="n">
        <v>2</v>
      </c>
      <c r="E15" s="11" t="inlineStr">
        <is>
          <t>ILLUSTRATIVE sample score — replace</t>
        </is>
      </c>
    </row>
    <row r="16">
      <c r="A16" s="7" t="inlineStr">
        <is>
          <t>Data</t>
        </is>
      </c>
      <c r="B16" s="8" t="inlineStr">
        <is>
          <t>D3</t>
        </is>
      </c>
      <c r="C16" s="9" t="inlineStr">
        <is>
          <t>Invoice fields map cleanly to ERP without habitual free-text.</t>
        </is>
      </c>
      <c r="D16" s="10" t="n">
        <v>2</v>
      </c>
      <c r="E16" s="11" t="inlineStr">
        <is>
          <t>ILLUSTRATIVE sample score — replace</t>
        </is>
      </c>
    </row>
    <row r="17">
      <c r="A17" s="7" t="inlineStr">
        <is>
          <t>Data</t>
        </is>
      </c>
      <c r="B17" s="8" t="inlineStr">
        <is>
          <t>D4</t>
        </is>
      </c>
      <c r="C17" s="9" t="inlineStr">
        <is>
          <t>PO, GR, and invoice identifiers join reliably for matching.</t>
        </is>
      </c>
      <c r="D17" s="10" t="n">
        <v>3</v>
      </c>
      <c r="E17" s="11" t="inlineStr">
        <is>
          <t>ILLUSTRATIVE sample score — replace</t>
        </is>
      </c>
    </row>
    <row r="18">
      <c r="A18" s="7" t="inlineStr">
        <is>
          <t>Data</t>
        </is>
      </c>
      <c r="B18" s="8" t="inlineStr">
        <is>
          <t>D5</t>
        </is>
      </c>
      <c r="C18" s="9" t="inlineStr">
        <is>
          <t>≥12 months historical invoices queryable for patterns.</t>
        </is>
      </c>
      <c r="D18" s="10" t="n">
        <v>2</v>
      </c>
      <c r="E18" s="11" t="inlineStr">
        <is>
          <t>ILLUSTRATIVE sample score — replace</t>
        </is>
      </c>
    </row>
    <row r="19">
      <c r="A19" s="7" t="inlineStr">
        <is>
          <t>Data</t>
        </is>
      </c>
      <c r="B19" s="8" t="inlineStr">
        <is>
          <t>D6</t>
        </is>
      </c>
      <c r="C19" s="9" t="inlineStr">
        <is>
          <t>Data quality issues logged with remediation owners.</t>
        </is>
      </c>
      <c r="D19" s="10" t="n">
        <v>2</v>
      </c>
      <c r="E19" s="11" t="inlineStr">
        <is>
          <t>ILLUSTRATIVE sample score — replace</t>
        </is>
      </c>
    </row>
    <row r="20">
      <c r="A20" s="7" t="inlineStr">
        <is>
          <t>Controls</t>
        </is>
      </c>
      <c r="B20" s="8" t="inlineStr">
        <is>
          <t>C1</t>
        </is>
      </c>
      <c r="C20" s="9" t="inlineStr">
        <is>
          <t>SoD enforced: vendor setup vs entry vs payment release.</t>
        </is>
      </c>
      <c r="D20" s="10" t="n">
        <v>3</v>
      </c>
      <c r="E20" s="11" t="inlineStr">
        <is>
          <t>ILLUSTRATIVE sample score — replace</t>
        </is>
      </c>
    </row>
    <row r="21">
      <c r="A21" s="7" t="inlineStr">
        <is>
          <t>Controls</t>
        </is>
      </c>
      <c r="B21" s="8" t="inlineStr">
        <is>
          <t>C2</t>
        </is>
      </c>
      <c r="C21" s="9" t="inlineStr">
        <is>
          <t>Vendor bank changes require dual control / verification.</t>
        </is>
      </c>
      <c r="D21" s="10" t="n">
        <v>3</v>
      </c>
      <c r="E21" s="11" t="inlineStr">
        <is>
          <t>ILLUSTRATIVE sample score — replace</t>
        </is>
      </c>
    </row>
    <row r="22">
      <c r="A22" s="7" t="inlineStr">
        <is>
          <t>Controls</t>
        </is>
      </c>
      <c r="B22" s="8" t="inlineStr">
        <is>
          <t>C3</t>
        </is>
      </c>
      <c r="C22" s="9" t="inlineStr">
        <is>
          <t>Audit trails for approvals, matches, overrides, holds.</t>
        </is>
      </c>
      <c r="D22" s="10" t="n">
        <v>3</v>
      </c>
      <c r="E22" s="11" t="inlineStr">
        <is>
          <t>ILLUSTRATIVE sample score — replace</t>
        </is>
      </c>
    </row>
    <row r="23">
      <c r="A23" s="7" t="inlineStr">
        <is>
          <t>Controls</t>
        </is>
      </c>
      <c r="B23" s="8" t="inlineStr">
        <is>
          <t>C4</t>
        </is>
      </c>
      <c r="C23" s="9" t="inlineStr">
        <is>
          <t>Force-pay authority limited, logged, reviewed.</t>
        </is>
      </c>
      <c r="D23" s="10" t="n">
        <v>2</v>
      </c>
      <c r="E23" s="11" t="inlineStr">
        <is>
          <t>ILLUSTRATIVE sample score — replace</t>
        </is>
      </c>
    </row>
    <row r="24">
      <c r="A24" s="7" t="inlineStr">
        <is>
          <t>Controls</t>
        </is>
      </c>
      <c r="B24" s="8" t="inlineStr">
        <is>
          <t>C5</t>
        </is>
      </c>
      <c r="C24" s="9" t="inlineStr">
        <is>
          <t>AP access role-based and reviewed at least annually.</t>
        </is>
      </c>
      <c r="D24" s="10" t="n">
        <v>3</v>
      </c>
      <c r="E24" s="11" t="inlineStr">
        <is>
          <t>ILLUSTRATIVE sample score — replace</t>
        </is>
      </c>
    </row>
    <row r="25">
      <c r="A25" s="7" t="inlineStr">
        <is>
          <t>Controls</t>
        </is>
      </c>
      <c r="B25" s="8" t="inlineStr">
        <is>
          <t>C6</t>
        </is>
      </c>
      <c r="C25" s="9" t="inlineStr">
        <is>
          <t>Sample testing / monitoring on high-risk invoice classes.</t>
        </is>
      </c>
      <c r="D25" s="10" t="n">
        <v>2</v>
      </c>
      <c r="E25" s="11" t="inlineStr">
        <is>
          <t>ILLUSTRATIVE sample score — replace</t>
        </is>
      </c>
    </row>
    <row r="26">
      <c r="A26" s="7" t="inlineStr">
        <is>
          <t>Controls</t>
        </is>
      </c>
      <c r="B26" s="8" t="inlineStr">
        <is>
          <t>C7</t>
        </is>
      </c>
      <c r="C26" s="9" t="inlineStr">
        <is>
          <t>Policies for discounts, late fees, hold releases written &amp; tested.</t>
        </is>
      </c>
      <c r="D26" s="10" t="n">
        <v>2</v>
      </c>
      <c r="E26" s="11" t="inlineStr">
        <is>
          <t>ILLUSTRATIVE sample score — replace</t>
        </is>
      </c>
    </row>
    <row r="27">
      <c r="A27" s="7" t="inlineStr">
        <is>
          <t>Technology</t>
        </is>
      </c>
      <c r="B27" s="8" t="inlineStr">
        <is>
          <t>T1</t>
        </is>
      </c>
      <c r="C27" s="9" t="inlineStr">
        <is>
          <t>System of record (ERP/AP) — not spreadsheets as primary path.</t>
        </is>
      </c>
      <c r="D27" s="10" t="n">
        <v>3</v>
      </c>
      <c r="E27" s="11" t="inlineStr">
        <is>
          <t>ILLUSTRATIVE sample score — replace</t>
        </is>
      </c>
    </row>
    <row r="28">
      <c r="A28" s="7" t="inlineStr">
        <is>
          <t>Technology</t>
        </is>
      </c>
      <c r="B28" s="8" t="inlineStr">
        <is>
          <t>T2</t>
        </is>
      </c>
      <c r="C28" s="9" t="inlineStr">
        <is>
          <t>Capture/OCR or structured intake for meaningful volume share.</t>
        </is>
      </c>
      <c r="D28" s="10" t="n">
        <v>2</v>
      </c>
      <c r="E28" s="11" t="inlineStr">
        <is>
          <t>ILLUSTRATIVE sample score — replace</t>
        </is>
      </c>
    </row>
    <row r="29">
      <c r="A29" s="7" t="inlineStr">
        <is>
          <t>Technology</t>
        </is>
      </c>
      <c r="B29" s="8" t="inlineStr">
        <is>
          <t>T3</t>
        </is>
      </c>
      <c r="C29" s="9" t="inlineStr">
        <is>
          <t>Workflow routing/reminders/escalation without email-only chase.</t>
        </is>
      </c>
      <c r="D29" s="10" t="n">
        <v>2</v>
      </c>
      <c r="E29" s="11" t="inlineStr">
        <is>
          <t>ILLUSTRATIVE sample score — replace</t>
        </is>
      </c>
    </row>
    <row r="30">
      <c r="A30" s="7" t="inlineStr">
        <is>
          <t>Technology</t>
        </is>
      </c>
      <c r="B30" s="8" t="inlineStr">
        <is>
          <t>T4</t>
        </is>
      </c>
      <c r="C30" s="9" t="inlineStr">
        <is>
          <t>Integrations AP–procurement–receiving stable for matching.</t>
        </is>
      </c>
      <c r="D30" s="10" t="n">
        <v>2</v>
      </c>
      <c r="E30" s="11" t="inlineStr">
        <is>
          <t>ILLUSTRATIVE sample score — replace</t>
        </is>
      </c>
    </row>
    <row r="31">
      <c r="A31" s="7" t="inlineStr">
        <is>
          <t>Technology</t>
        </is>
      </c>
      <c r="B31" s="8" t="inlineStr">
        <is>
          <t>T5</t>
        </is>
      </c>
      <c r="C31" s="9" t="inlineStr">
        <is>
          <t>Reporting extracts without heroic manual effort.</t>
        </is>
      </c>
      <c r="D31" s="10" t="n">
        <v>2</v>
      </c>
      <c r="E31" s="11" t="inlineStr">
        <is>
          <t>ILLUSTRATIVE sample score — replace</t>
        </is>
      </c>
    </row>
    <row r="32">
      <c r="A32" s="7" t="inlineStr">
        <is>
          <t>Technology</t>
        </is>
      </c>
      <c r="B32" s="8" t="inlineStr">
        <is>
          <t>T6</t>
        </is>
      </c>
      <c r="C32" s="9" t="inlineStr">
        <is>
          <t>Sandbox suitable for agent pilot testing.</t>
        </is>
      </c>
      <c r="D32" s="10" t="n">
        <v>1</v>
      </c>
      <c r="E32" s="11" t="inlineStr">
        <is>
          <t>ILLUSTRATIVE sample score — replace</t>
        </is>
      </c>
    </row>
    <row r="33">
      <c r="A33" s="7" t="inlineStr">
        <is>
          <t>People</t>
        </is>
      </c>
      <c r="B33" s="8" t="inlineStr">
        <is>
          <t>H1</t>
        </is>
      </c>
      <c r="C33" s="9" t="inlineStr">
        <is>
          <t>Roles for processors, exception owners, approvers clear &amp; staffed.</t>
        </is>
      </c>
      <c r="D33" s="10" t="n">
        <v>3</v>
      </c>
      <c r="E33" s="11" t="inlineStr">
        <is>
          <t>ILLUSTRATIVE sample score — replace</t>
        </is>
      </c>
    </row>
    <row r="34">
      <c r="A34" s="7" t="inlineStr">
        <is>
          <t>People</t>
        </is>
      </c>
      <c r="B34" s="8" t="inlineStr">
        <is>
          <t>H2</t>
        </is>
      </c>
      <c r="C34" s="9" t="inlineStr">
        <is>
          <t>Staff can explain approvals/holds using system evidence.</t>
        </is>
      </c>
      <c r="D34" s="10" t="n">
        <v>2</v>
      </c>
      <c r="E34" s="11" t="inlineStr">
        <is>
          <t>ILLUSTRATIVE sample score — replace</t>
        </is>
      </c>
    </row>
    <row r="35">
      <c r="A35" s="7" t="inlineStr">
        <is>
          <t>People</t>
        </is>
      </c>
      <c r="B35" s="8" t="inlineStr">
        <is>
          <t>H3</t>
        </is>
      </c>
      <c r="C35" s="9" t="inlineStr">
        <is>
          <t>Capacity for process redesign, not only firefighting.</t>
        </is>
      </c>
      <c r="D35" s="10" t="n">
        <v>2</v>
      </c>
      <c r="E35" s="11" t="inlineStr">
        <is>
          <t>ILLUSTRATIVE sample score — replace</t>
        </is>
      </c>
    </row>
    <row r="36">
      <c r="A36" s="7" t="inlineStr">
        <is>
          <t>People</t>
        </is>
      </c>
      <c r="B36" s="8" t="inlineStr">
        <is>
          <t>H4</t>
        </is>
      </c>
      <c r="C36" s="9" t="inlineStr">
        <is>
          <t>Leadership: agents under human accountability.</t>
        </is>
      </c>
      <c r="D36" s="10" t="n">
        <v>3</v>
      </c>
      <c r="E36" s="11" t="inlineStr">
        <is>
          <t>ILLUSTRATIVE sample score — replace</t>
        </is>
      </c>
    </row>
    <row r="37">
      <c r="A37" s="7" t="inlineStr">
        <is>
          <t>People</t>
        </is>
      </c>
      <c r="B37" s="8" t="inlineStr">
        <is>
          <t>H5</t>
        </is>
      </c>
      <c r="C37" s="9" t="inlineStr">
        <is>
          <t>Training for tools/policy; adoption measured.</t>
        </is>
      </c>
      <c r="D37" s="10" t="n">
        <v>2</v>
      </c>
      <c r="E37" s="11" t="inlineStr">
        <is>
          <t>ILLUSTRATIVE sample score — replace</t>
        </is>
      </c>
    </row>
    <row r="38">
      <c r="A38" s="7" t="inlineStr">
        <is>
          <t>Measurement</t>
        </is>
      </c>
      <c r="B38" s="8" t="inlineStr">
        <is>
          <t>M1</t>
        </is>
      </c>
      <c r="C38" s="9" t="inlineStr">
        <is>
          <t>Cost per invoice (or proxy) tracked at least quarterly.</t>
        </is>
      </c>
      <c r="D38" s="10" t="n">
        <v>2</v>
      </c>
      <c r="E38" s="11" t="inlineStr">
        <is>
          <t>ILLUSTRATIVE sample score — replace</t>
        </is>
      </c>
    </row>
    <row r="39">
      <c r="A39" s="7" t="inlineStr">
        <is>
          <t>Measurement</t>
        </is>
      </c>
      <c r="B39" s="8" t="inlineStr">
        <is>
          <t>M2</t>
        </is>
      </c>
      <c r="C39" s="9" t="inlineStr">
        <is>
          <t>Exception rate and STP measured with agreed definitions.</t>
        </is>
      </c>
      <c r="D39" s="10" t="n">
        <v>2</v>
      </c>
      <c r="E39" s="11" t="inlineStr">
        <is>
          <t>ILLUSTRATIVE sample score — replace</t>
        </is>
      </c>
    </row>
    <row r="40">
      <c r="A40" s="7" t="inlineStr">
        <is>
          <t>Measurement</t>
        </is>
      </c>
      <c r="B40" s="8" t="inlineStr">
        <is>
          <t>M3</t>
        </is>
      </c>
      <c r="C40" s="9" t="inlineStr">
        <is>
          <t>Cycle time receipt→payment-ready by invoice class.</t>
        </is>
      </c>
      <c r="D40" s="10" t="n">
        <v>2</v>
      </c>
      <c r="E40" s="11" t="inlineStr">
        <is>
          <t>ILLUSTRATIVE sample score — replace</t>
        </is>
      </c>
    </row>
    <row r="41">
      <c r="A41" s="7" t="inlineStr">
        <is>
          <t>Measurement</t>
        </is>
      </c>
      <c r="B41" s="8" t="inlineStr">
        <is>
          <t>M4</t>
        </is>
      </c>
      <c r="C41" s="9" t="inlineStr">
        <is>
          <t>KPI reviews on fixed cadence with owners and actions.</t>
        </is>
      </c>
      <c r="D41" s="10" t="n">
        <v>2</v>
      </c>
      <c r="E41" s="11" t="inlineStr">
        <is>
          <t>ILLUSTRATIVE sample score — replace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22" customWidth="1" min="4" max="4"/>
    <col width="4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Auto Maturity Scoring</t>
        </is>
      </c>
    </row>
    <row r="3">
      <c r="A3" s="3" t="inlineStr">
        <is>
          <t>Formulas over Diagnostic!D7:D41</t>
        </is>
      </c>
    </row>
    <row r="4">
      <c r="A4" s="4" t="inlineStr">
        <is>
          <t>Agents that earn responsibility.</t>
        </is>
      </c>
    </row>
    <row r="5"/>
    <row r="6">
      <c r="A6" s="6" t="inlineStr">
        <is>
          <t>Dimension</t>
        </is>
      </c>
      <c r="B6" s="6" t="inlineStr">
        <is>
          <t>Your points</t>
        </is>
      </c>
      <c r="C6" s="6" t="inlineStr">
        <is>
          <t>Max</t>
        </is>
      </c>
      <c r="D6" s="6" t="inlineStr">
        <is>
          <t>% of max</t>
        </is>
      </c>
      <c r="E6" s="6" t="inlineStr">
        <is>
          <t>Band</t>
        </is>
      </c>
    </row>
    <row r="7">
      <c r="A7" s="7" t="inlineStr">
        <is>
          <t>Process</t>
        </is>
      </c>
      <c r="B7" s="12">
        <f>SUM(Diagnostic!D7:D13)</f>
        <v/>
      </c>
      <c r="C7" s="12" t="n">
        <v>28</v>
      </c>
      <c r="D7" s="13">
        <f>IF(C7=0,0,B7/C7)</f>
        <v/>
      </c>
      <c r="E7" s="12">
        <f>IF(D7&lt;0.25,"Fragile",IF(D7&lt;0.5,"Forming",IF(D7&lt;0.75,"Capable",IF(D7&lt;0.9,"Strong","Evidence-ready"))))</f>
        <v/>
      </c>
    </row>
    <row r="8">
      <c r="A8" s="7" t="inlineStr">
        <is>
          <t>Data</t>
        </is>
      </c>
      <c r="B8" s="12">
        <f>SUM(Diagnostic!D14:D19)</f>
        <v/>
      </c>
      <c r="C8" s="12" t="n">
        <v>24</v>
      </c>
      <c r="D8" s="13">
        <f>IF(C8=0,0,B8/C8)</f>
        <v/>
      </c>
      <c r="E8" s="12">
        <f>IF(D8&lt;0.25,"Fragile",IF(D8&lt;0.5,"Forming",IF(D8&lt;0.75,"Capable",IF(D8&lt;0.9,"Strong","Evidence-ready"))))</f>
        <v/>
      </c>
    </row>
    <row r="9">
      <c r="A9" s="7" t="inlineStr">
        <is>
          <t>Controls</t>
        </is>
      </c>
      <c r="B9" s="12">
        <f>SUM(Diagnostic!D20:D26)</f>
        <v/>
      </c>
      <c r="C9" s="12" t="n">
        <v>28</v>
      </c>
      <c r="D9" s="13">
        <f>IF(C9=0,0,B9/C9)</f>
        <v/>
      </c>
      <c r="E9" s="12">
        <f>IF(D9&lt;0.25,"Fragile",IF(D9&lt;0.5,"Forming",IF(D9&lt;0.75,"Capable",IF(D9&lt;0.9,"Strong","Evidence-ready"))))</f>
        <v/>
      </c>
    </row>
    <row r="10">
      <c r="A10" s="7" t="inlineStr">
        <is>
          <t>Technology</t>
        </is>
      </c>
      <c r="B10" s="12">
        <f>SUM(Diagnostic!D27:D32)</f>
        <v/>
      </c>
      <c r="C10" s="12" t="n">
        <v>24</v>
      </c>
      <c r="D10" s="13">
        <f>IF(C10=0,0,B10/C10)</f>
        <v/>
      </c>
      <c r="E10" s="12">
        <f>IF(D10&lt;0.25,"Fragile",IF(D10&lt;0.5,"Forming",IF(D10&lt;0.75,"Capable",IF(D10&lt;0.9,"Strong","Evidence-ready"))))</f>
        <v/>
      </c>
    </row>
    <row r="11">
      <c r="A11" s="7" t="inlineStr">
        <is>
          <t>People</t>
        </is>
      </c>
      <c r="B11" s="12">
        <f>SUM(Diagnostic!D33:D37)</f>
        <v/>
      </c>
      <c r="C11" s="12" t="n">
        <v>20</v>
      </c>
      <c r="D11" s="13">
        <f>IF(C11=0,0,B11/C11)</f>
        <v/>
      </c>
      <c r="E11" s="12">
        <f>IF(D11&lt;0.25,"Fragile",IF(D11&lt;0.5,"Forming",IF(D11&lt;0.75,"Capable",IF(D11&lt;0.9,"Strong","Evidence-ready"))))</f>
        <v/>
      </c>
    </row>
    <row r="12">
      <c r="A12" s="7" t="inlineStr">
        <is>
          <t>Measurement</t>
        </is>
      </c>
      <c r="B12" s="12">
        <f>SUM(Diagnostic!D38:D41)</f>
        <v/>
      </c>
      <c r="C12" s="12" t="n">
        <v>16</v>
      </c>
      <c r="D12" s="13">
        <f>IF(C12=0,0,B12/C12)</f>
        <v/>
      </c>
      <c r="E12" s="12">
        <f>IF(D12&lt;0.25,"Fragile",IF(D12&lt;0.5,"Forming",IF(D12&lt;0.75,"Capable",IF(D12&lt;0.9,"Strong","Evidence-ready"))))</f>
        <v/>
      </c>
    </row>
    <row r="13"/>
    <row r="14">
      <c r="A14" t="inlineStr">
        <is>
          <t>Total points</t>
        </is>
      </c>
      <c r="B14">
        <f>SUM(B7:B12)</f>
        <v/>
      </c>
      <c r="C14" t="n">
        <v>140</v>
      </c>
      <c r="D14" s="14">
        <f>B14/C14</f>
        <v/>
      </c>
    </row>
    <row r="15">
      <c r="A15" t="inlineStr">
        <is>
          <t>Maturity level</t>
        </is>
      </c>
      <c r="B15">
        <f>IF(B14&lt;=27,1,IF(B14&lt;=55,2,IF(B14&lt;=83,3,IF(B14&lt;=111,4,5))))</f>
        <v/>
      </c>
      <c r="C15">
        <f>IF(B15=1,"Manual &amp; opaque",IF(B15=2,"Documented but fragile",IF(B15=3,"Controlled operations",IF(B15=4,"Measurable &amp; integrable","Agent-ready with governance"))))</f>
        <v/>
      </c>
    </row>
    <row r="16"/>
    <row r="17">
      <c r="A17" s="15" t="inlineStr">
        <is>
          <t>Sample scores on Diagnostic sheet are ILLUSTRATIVE. Overwrite with evidence-based scores.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Room — AP Agent OS</t>
        </is>
      </c>
    </row>
    <row r="2">
      <c r="A2" s="2" t="inlineStr">
        <is>
          <t>Maturity Levels 1–5</t>
        </is>
      </c>
    </row>
    <row r="3">
      <c r="A3" s="3" t="inlineStr">
        <is>
          <t>Agent posture by level</t>
        </is>
      </c>
    </row>
    <row r="4">
      <c r="A4" s="4" t="inlineStr">
        <is>
          <t>Agents that earn responsibility.</t>
        </is>
      </c>
    </row>
    <row r="6">
      <c r="A6" s="6" t="inlineStr">
        <is>
          <t>Level</t>
        </is>
      </c>
      <c r="B6" s="6" t="inlineStr">
        <is>
          <t>Points</t>
        </is>
      </c>
      <c r="C6" s="6" t="inlineStr">
        <is>
          <t>Label</t>
        </is>
      </c>
      <c r="D6" s="6" t="inlineStr">
        <is>
          <t>Agent posture</t>
        </is>
      </c>
    </row>
    <row r="7">
      <c r="A7" s="12" t="n">
        <v>1</v>
      </c>
      <c r="B7" s="12" t="inlineStr">
        <is>
          <t>0–27</t>
        </is>
      </c>
      <c r="C7" s="12" t="inlineStr">
        <is>
          <t>Manual &amp; opaque</t>
        </is>
      </c>
      <c r="D7" s="12" t="inlineStr">
        <is>
          <t>Observation only</t>
        </is>
      </c>
    </row>
    <row r="8">
      <c r="A8" s="12" t="n">
        <v>2</v>
      </c>
      <c r="B8" s="12" t="inlineStr">
        <is>
          <t>28–55</t>
        </is>
      </c>
      <c r="C8" s="12" t="inlineStr">
        <is>
          <t>Documented but fragile</t>
        </is>
      </c>
      <c r="D8" s="12" t="inlineStr">
        <is>
          <t>Draft-only, 100% human action</t>
        </is>
      </c>
    </row>
    <row r="9">
      <c r="A9" s="12" t="n">
        <v>3</v>
      </c>
      <c r="B9" s="12" t="inlineStr">
        <is>
          <t>56–83</t>
        </is>
      </c>
      <c r="C9" s="12" t="inlineStr">
        <is>
          <t>Controlled operations</t>
        </is>
      </c>
      <c r="D9" s="12" t="inlineStr">
        <is>
          <t>Propose-and-confirm</t>
        </is>
      </c>
    </row>
    <row r="10">
      <c r="A10" s="12" t="n">
        <v>4</v>
      </c>
      <c r="B10" s="12" t="inlineStr">
        <is>
          <t>84–111</t>
        </is>
      </c>
      <c r="C10" s="12" t="inlineStr">
        <is>
          <t>Measurable &amp; integrable</t>
        </is>
      </c>
      <c r="D10" s="12" t="inlineStr">
        <is>
          <t>Bounded autonomy narrow classes</t>
        </is>
      </c>
    </row>
    <row r="11">
      <c r="A11" s="12" t="n">
        <v>5</v>
      </c>
      <c r="B11" s="12" t="inlineStr">
        <is>
          <t>112–140</t>
        </is>
      </c>
      <c r="C11" s="12" t="inlineStr">
        <is>
          <t>Agent-ready with governance</t>
        </is>
      </c>
      <c r="D11" s="12" t="inlineStr">
        <is>
          <t>Portfolio with RACI &amp; sampling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Notes &amp; External Benchmarks</t>
        </is>
      </c>
    </row>
    <row r="3">
      <c r="A3" s="3" t="inlineStr">
        <is>
          <t>Industry context only — not a guarantee of your results</t>
        </is>
      </c>
    </row>
    <row r="4">
      <c r="A4" s="4" t="inlineStr">
        <is>
          <t>Agents that earn responsibility.</t>
        </is>
      </c>
    </row>
    <row r="5"/>
    <row r="6">
      <c r="A6" s="6" t="inlineStr">
        <is>
          <t>Field</t>
        </is>
      </c>
      <c r="B6" s="6" t="inlineStr">
        <is>
          <t>Value</t>
        </is>
      </c>
    </row>
    <row r="7">
      <c r="A7" s="7" t="inlineStr">
        <is>
          <t>Source</t>
        </is>
      </c>
      <c r="B7" s="9" t="inlineStr">
        <is>
          <t>Ardent Partners — State of ePayables (2025 survey averages)</t>
        </is>
      </c>
    </row>
    <row r="8">
      <c r="A8" s="7" t="inlineStr">
        <is>
          <t>Avg cost per invoice</t>
        </is>
      </c>
      <c r="B8" s="9" t="inlineStr">
        <is>
          <t>$9.84</t>
        </is>
      </c>
    </row>
    <row r="9">
      <c r="A9" s="7" t="inlineStr">
        <is>
          <t>Exception rate</t>
        </is>
      </c>
      <c r="B9" s="9" t="inlineStr">
        <is>
          <t>18.4%</t>
        </is>
      </c>
    </row>
    <row r="10">
      <c r="A10" s="7" t="inlineStr">
        <is>
          <t>Straight-through processing (STP)</t>
        </is>
      </c>
      <c r="B10" s="9" t="inlineStr">
        <is>
          <t>35.4%</t>
        </is>
      </c>
    </row>
    <row r="11">
      <c r="A11" s="7" t="inlineStr">
        <is>
          <t>Label</t>
        </is>
      </c>
      <c r="B11" s="10" t="inlineStr">
        <is>
          <t>EXTERNAL BENCHMARK — NOT A GUARANTEE</t>
        </is>
      </c>
    </row>
    <row r="12">
      <c r="A12" s="7" t="inlineStr">
        <is>
          <t>How to use</t>
        </is>
      </c>
      <c r="B12" s="9" t="inlineStr">
        <is>
          <t>Locate your baseline relative to survey averages. Do not substitute these for measured KPIs or treat them as Evidence Room performance claims.</t>
        </is>
      </c>
    </row>
    <row r="13">
      <c r="A13" s="7" t="inlineStr">
        <is>
          <t>Forbidden use</t>
        </is>
      </c>
      <c r="B13" s="9" t="inlineStr">
        <is>
          <t>Do not market 'guaranteed to reach $9.84'. Worksheets labeled ILLUSTRATIVE require your own inputs.</t>
        </is>
      </c>
    </row>
    <row r="14">
      <c r="A14" s="7" t="inlineStr">
        <is>
          <t>Product</t>
        </is>
      </c>
      <c r="B14" s="9" t="inlineStr">
        <is>
          <t>Evidence Room provides methodologies and templates. Humans remain accountable for approvals, payments, and audit representations.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Disclaimer</t>
        </is>
      </c>
    </row>
    <row r="3">
      <c r="A3" s="3" t="inlineStr">
        <is>
          <t>Read before relying on model outputs</t>
        </is>
      </c>
    </row>
    <row r="4">
      <c r="A4" s="4" t="inlineStr">
        <is>
          <t>Agents that earn responsibility.</t>
        </is>
      </c>
    </row>
    <row r="5"/>
    <row r="6" ht="36" customHeight="1">
      <c r="A6" s="16" t="inlineStr">
        <is>
          <t>Evidence Room products provide educational and operational templates for designing, governing, and measuring AI agents that assist Accounts Payable work.</t>
        </is>
      </c>
    </row>
    <row r="7" ht="36" customHeight="1">
      <c r="A7" s="16" t="inlineStr">
        <is>
          <t>They are not legal, tax, audit, accounting, investment, or compliance advice.</t>
        </is>
      </c>
    </row>
    <row r="8" ht="36" customHeight="1">
      <c r="A8" s="16" t="inlineStr">
        <is>
          <t>They are not a substitute for your ERP, AP automation platform, payment provider, or professional advisors.</t>
        </is>
      </c>
    </row>
    <row r="9" ht="36" customHeight="1">
      <c r="A9" s="16" t="inlineStr">
        <is>
          <t>AI agents can be wrong. Humans remain accountable for approvals, postings, payments, supplier master changes, and representations to auditors.</t>
        </is>
      </c>
    </row>
    <row r="10" ht="36" customHeight="1">
      <c r="A10" s="16" t="inlineStr">
        <is>
          <t>We do not guarantee any reduction in cost per invoice, cycle time, exception rate, fraud losses, compliance findings, or ROI.</t>
        </is>
      </c>
    </row>
    <row r="11" ht="36" customHeight="1">
      <c r="A11" s="16" t="inlineStr">
        <is>
          <t>Industry benchmarks attributed to Ardent Partners (2025) — $9.84 avg cost/invoice, 18.4% exception rate, 35.4% STP — are third-party survey averages for context only. Cited only on Notes sheets.</t>
        </is>
      </c>
    </row>
    <row r="12" ht="36" customHeight="1">
      <c r="A12" s="16" t="inlineStr">
        <is>
          <t>Any cell labeled ILLUSTRATIVE is sample data for structure demonstration — replace with your measured figures before decisions.</t>
        </is>
      </c>
    </row>
    <row r="13" ht="36" customHeight="1">
      <c r="A13" s="16" t="inlineStr">
        <is>
          <t>Confidential — licensed for internal use by the purchasing organisation.</t>
        </is>
      </c>
    </row>
  </sheetData>
  <mergeCells count="12">
    <mergeCell ref="A9:H9"/>
    <mergeCell ref="A4:H4"/>
    <mergeCell ref="A12:H12"/>
    <mergeCell ref="A3:H3"/>
    <mergeCell ref="A7:H7"/>
    <mergeCell ref="A2:H2"/>
    <mergeCell ref="A10:H10"/>
    <mergeCell ref="A13:H13"/>
    <mergeCell ref="A11:H11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2026-09-20T16:10:35Z</dcterms:created>
  <dcterms:modified xsi:type="dcterms:W3CDTF">2026-09-20T16:10:35Z</dcterms:modified>
</cp:coreProperties>
</file>