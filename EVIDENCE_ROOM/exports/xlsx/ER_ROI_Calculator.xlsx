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Outputs" sheetId="2" state="visible" r:id="rId2"/>
    <sheet name="Sensitivity" sheetId="3" state="visible" r:id="rId3"/>
    <sheet name="Notes" sheetId="4" state="visible" r:id="rId4"/>
    <sheet name="Disclaim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#,##0.0"/>
    <numFmt numFmtId="166" formatCode="0.0"/>
    <numFmt numFmtId="167" formatCode="&quot;$&quot;#,##0.00"/>
  </numFmts>
  <fonts count="11">
    <font>
      <name val="Calibri"/>
      <family val="2"/>
      <color theme="1"/>
      <sz val="11"/>
      <scheme val="minor"/>
    </font>
    <font>
      <name val="Calibri"/>
      <b val="1"/>
      <color rgb="000B1F2A"/>
      <sz val="18"/>
    </font>
    <font>
      <name val="Calibri"/>
      <b val="1"/>
      <color rgb="000B1F2A"/>
      <sz val="16"/>
    </font>
    <font>
      <name val="Calibri"/>
      <i val="1"/>
      <color rgb="001F5C5C"/>
      <sz val="10"/>
    </font>
    <font>
      <name val="Calibri"/>
      <b val="1"/>
      <color rgb="00C47A2C"/>
      <sz val="10"/>
    </font>
    <font>
      <name val="Calibri"/>
      <b val="1"/>
      <color rgb="00FFFFFF"/>
      <sz val="11"/>
    </font>
    <font>
      <name val="Calibri"/>
      <b val="1"/>
      <color rgb="000B1F2A"/>
      <sz val="10"/>
    </font>
    <font>
      <name val="Calibri"/>
      <color rgb="000B1F2A"/>
      <sz val="10"/>
    </font>
    <font>
      <name val="Calibri"/>
      <color rgb="003D4F5A"/>
      <sz val="10"/>
    </font>
    <font>
      <name val="Calibri"/>
      <b val="1"/>
      <color rgb="001F5C5C"/>
      <sz val="10"/>
    </font>
    <font>
      <name val="Calibri"/>
      <i val="1"/>
      <color rgb="008A8580"/>
      <sz val="9"/>
    </font>
  </fonts>
  <fills count="6">
    <fill>
      <patternFill/>
    </fill>
    <fill>
      <patternFill patternType="gray125"/>
    </fill>
    <fill>
      <patternFill patternType="solid">
        <fgColor rgb="00F7F4EE"/>
      </patternFill>
    </fill>
    <fill>
      <patternFill patternType="solid">
        <fgColor rgb="000B1F2A"/>
      </patternFill>
    </fill>
    <fill>
      <patternFill patternType="solid">
        <fgColor rgb="00FFFCF7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D9D2C7"/>
      </left>
      <right style="thin">
        <color rgb="00D9D2C7"/>
      </right>
      <top style="thin">
        <color rgb="00D9D2C7"/>
      </top>
      <bottom style="thin">
        <color rgb="00D9D2C7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vertical="center" wrapText="1"/>
    </xf>
    <xf numFmtId="0" fontId="6" fillId="0" borderId="1" pivotButton="0" quotePrefix="0" xfId="0"/>
    <xf numFmtId="4" fontId="7" fillId="4" borderId="1" pivotButton="0" quotePrefix="0" xfId="0"/>
    <xf numFmtId="0" fontId="8" fillId="0" borderId="1" pivotButton="0" quotePrefix="0" xfId="0"/>
    <xf numFmtId="0" fontId="9" fillId="0" borderId="1" pivotButton="0" quotePrefix="0" xfId="0"/>
    <xf numFmtId="0" fontId="7" fillId="4" borderId="1" pivotButton="0" quotePrefix="0" xfId="0"/>
    <xf numFmtId="10" fontId="7" fillId="4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0" fontId="4" fillId="5" borderId="0" pivotButton="0" quotePrefix="0" xfId="0"/>
    <xf numFmtId="3" fontId="5" fillId="3" borderId="1" applyAlignment="1" pivotButton="0" quotePrefix="0" xfId="0">
      <alignment vertical="center" wrapText="1"/>
    </xf>
    <xf numFmtId="9" fontId="6" fillId="0" borderId="0" pivotButton="0" quotePrefix="0" xfId="0"/>
    <xf numFmtId="0" fontId="8" fillId="0" borderId="0" pivotButton="0" quotePrefix="0" xfId="0"/>
    <xf numFmtId="0" fontId="4" fillId="5" borderId="1" pivotButton="0" quotePrefix="0" xfId="0"/>
    <xf numFmtId="0" fontId="1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2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Evidence Room — AP Agent OS</t>
        </is>
      </c>
    </row>
    <row r="2">
      <c r="A2" s="2" t="inlineStr">
        <is>
          <t>ER ROI Calculator — Inputs</t>
        </is>
      </c>
    </row>
    <row r="3">
      <c r="A3" s="3" t="inlineStr">
        <is>
          <t>Edit input cells (paper fill) only</t>
        </is>
      </c>
    </row>
    <row r="4">
      <c r="A4" s="4" t="inlineStr">
        <is>
          <t>Agents that earn responsibility.</t>
        </is>
      </c>
    </row>
    <row r="5"/>
    <row r="6">
      <c r="A6" s="5" t="inlineStr">
        <is>
          <t>Parameter</t>
        </is>
      </c>
      <c r="B6" s="5" t="inlineStr">
        <is>
          <t>Value</t>
        </is>
      </c>
      <c r="C6" s="5" t="inlineStr">
        <is>
          <t>Unit</t>
        </is>
      </c>
      <c r="D6" s="5" t="inlineStr">
        <is>
          <t>Notes</t>
        </is>
      </c>
    </row>
    <row r="7">
      <c r="A7" s="6" t="inlineStr">
        <is>
          <t>Annual invoice volume</t>
        </is>
      </c>
      <c r="B7" s="7" t="n">
        <v>120000</v>
      </c>
      <c r="C7" s="8" t="inlineStr">
        <is>
          <t>invoices/year</t>
        </is>
      </c>
      <c r="D7" s="9" t="inlineStr">
        <is>
          <t>INPUT — editable</t>
        </is>
      </c>
    </row>
    <row r="8">
      <c r="A8" s="6" t="inlineStr">
        <is>
          <t>AP headcount (FTE)</t>
        </is>
      </c>
      <c r="B8" s="10" t="n">
        <v>8</v>
      </c>
      <c r="C8" s="8" t="inlineStr">
        <is>
          <t>FTE</t>
        </is>
      </c>
      <c r="D8" s="9" t="inlineStr">
        <is>
          <t>INPUT — editable</t>
        </is>
      </c>
    </row>
    <row r="9">
      <c r="A9" s="6" t="inlineStr">
        <is>
          <t>Loaded cost per FTE</t>
        </is>
      </c>
      <c r="B9" s="7" t="n">
        <v>85000</v>
      </c>
      <c r="C9" s="8" t="inlineStr">
        <is>
          <t>USD/year</t>
        </is>
      </c>
      <c r="D9" s="9" t="inlineStr">
        <is>
          <t>INPUT — editable</t>
        </is>
      </c>
    </row>
    <row r="10">
      <c r="A10" s="6" t="inlineStr">
        <is>
          <t>Manual-touch share</t>
        </is>
      </c>
      <c r="B10" s="11" t="n">
        <v>0.65</v>
      </c>
      <c r="C10" s="8" t="inlineStr">
        <is>
          <t>% of invoices</t>
        </is>
      </c>
      <c r="D10" s="9" t="inlineStr">
        <is>
          <t>INPUT — editable</t>
        </is>
      </c>
    </row>
    <row r="11">
      <c r="A11" s="6" t="inlineStr">
        <is>
          <t>Exception rate</t>
        </is>
      </c>
      <c r="B11" s="11" t="n">
        <v>0.22</v>
      </c>
      <c r="C11" s="8" t="inlineStr">
        <is>
          <t>% of invoices</t>
        </is>
      </c>
      <c r="D11" s="9" t="inlineStr">
        <is>
          <t>INPUT — editable</t>
        </is>
      </c>
    </row>
    <row r="12">
      <c r="A12" s="6" t="inlineStr">
        <is>
          <t>Minutes per exception resolution</t>
        </is>
      </c>
      <c r="B12" s="10" t="n">
        <v>18</v>
      </c>
      <c r="C12" s="8" t="inlineStr">
        <is>
          <t>minutes</t>
        </is>
      </c>
      <c r="D12" s="9" t="inlineStr">
        <is>
          <t>INPUT — editable</t>
        </is>
      </c>
    </row>
    <row r="13">
      <c r="A13" s="6" t="inlineStr">
        <is>
          <t>Duplicate payment loss rate</t>
        </is>
      </c>
      <c r="B13" s="11" t="n">
        <v>0.0015</v>
      </c>
      <c r="C13" s="8" t="inlineStr">
        <is>
          <t>fraction of spend</t>
        </is>
      </c>
      <c r="D13" s="9" t="inlineStr">
        <is>
          <t>INPUT — editable</t>
        </is>
      </c>
    </row>
    <row r="14">
      <c r="A14" s="6" t="inlineStr">
        <is>
          <t>Annual AP spend (proxy)</t>
        </is>
      </c>
      <c r="B14" s="7" t="n">
        <v>48000000</v>
      </c>
      <c r="C14" s="8" t="inlineStr">
        <is>
          <t>USD</t>
        </is>
      </c>
      <c r="D14" s="9" t="inlineStr">
        <is>
          <t>INPUT — editable</t>
        </is>
      </c>
    </row>
    <row r="15">
      <c r="A15" s="6" t="inlineStr">
        <is>
          <t>Late-payment cost / year</t>
        </is>
      </c>
      <c r="B15" s="7" t="n">
        <v>120000</v>
      </c>
      <c r="C15" s="8" t="inlineStr">
        <is>
          <t>USD</t>
        </is>
      </c>
      <c r="D15" s="9" t="inlineStr">
        <is>
          <t>INPUT — editable</t>
        </is>
      </c>
    </row>
    <row r="16">
      <c r="A16" s="6" t="inlineStr">
        <is>
          <t>Early-pay discount opportunity</t>
        </is>
      </c>
      <c r="B16" s="7" t="n">
        <v>95000</v>
      </c>
      <c r="C16" s="8" t="inlineStr">
        <is>
          <t>USD/year missed</t>
        </is>
      </c>
      <c r="D16" s="9" t="inlineStr">
        <is>
          <t>INPUT — editable</t>
        </is>
      </c>
    </row>
    <row r="17">
      <c r="A17" s="6" t="inlineStr">
        <is>
          <t>Current processing cost / invoice</t>
        </is>
      </c>
      <c r="B17" s="10" t="n">
        <v>12.5</v>
      </c>
      <c r="C17" s="8" t="inlineStr">
        <is>
          <t>USD</t>
        </is>
      </c>
      <c r="D17" s="9" t="inlineStr">
        <is>
          <t>INPUT — editable</t>
        </is>
      </c>
    </row>
    <row r="18">
      <c r="A18" s="6" t="inlineStr">
        <is>
          <t>Projected AI platform cost / year</t>
        </is>
      </c>
      <c r="B18" s="7" t="n">
        <v>48000</v>
      </c>
      <c r="C18" s="8" t="inlineStr">
        <is>
          <t>USD</t>
        </is>
      </c>
      <c r="D18" s="9" t="inlineStr">
        <is>
          <t>INPUT — editable</t>
        </is>
      </c>
    </row>
    <row r="19">
      <c r="A19" s="6" t="inlineStr">
        <is>
          <t>Implementation cost (one-time)</t>
        </is>
      </c>
      <c r="B19" s="7" t="n">
        <v>75000</v>
      </c>
      <c r="C19" s="8" t="inlineStr">
        <is>
          <t>USD</t>
        </is>
      </c>
      <c r="D19" s="9" t="inlineStr">
        <is>
          <t>INPUT — editable</t>
        </is>
      </c>
    </row>
    <row r="20">
      <c r="A20" s="6" t="inlineStr">
        <is>
          <t>Efficiency gain — Conservative</t>
        </is>
      </c>
      <c r="B20" s="11" t="n">
        <v>0.12</v>
      </c>
      <c r="C20" s="8" t="inlineStr">
        <is>
          <t>fraction</t>
        </is>
      </c>
      <c r="D20" s="9" t="inlineStr">
        <is>
          <t>INPUT — editable</t>
        </is>
      </c>
    </row>
    <row r="21">
      <c r="A21" s="6" t="inlineStr">
        <is>
          <t>Efficiency gain — Base</t>
        </is>
      </c>
      <c r="B21" s="11" t="n">
        <v>0.25</v>
      </c>
      <c r="C21" s="8" t="inlineStr">
        <is>
          <t>fraction</t>
        </is>
      </c>
      <c r="D21" s="9" t="inlineStr">
        <is>
          <t>INPUT — editable</t>
        </is>
      </c>
    </row>
    <row r="22">
      <c r="A22" s="6" t="inlineStr">
        <is>
          <t>Efficiency gain — Upside</t>
        </is>
      </c>
      <c r="B22" s="11" t="n">
        <v>0.4</v>
      </c>
      <c r="C22" s="8" t="inlineStr">
        <is>
          <t>fraction</t>
        </is>
      </c>
      <c r="D22" s="9" t="inlineStr">
        <is>
          <t>INPUT — editable</t>
        </is>
      </c>
    </row>
    <row r="23">
      <c r="A23" s="6" t="inlineStr">
        <is>
          <t>Labour cost recovery share</t>
        </is>
      </c>
      <c r="B23" s="11" t="n">
        <v>0.7</v>
      </c>
      <c r="C23" s="8" t="inlineStr">
        <is>
          <t>of labour savings realised</t>
        </is>
      </c>
      <c r="D23" s="9" t="inlineStr">
        <is>
          <t>INPUT — editable</t>
        </is>
      </c>
    </row>
    <row r="24">
      <c r="A24" s="6" t="inlineStr">
        <is>
          <t>Discount capture improvement</t>
        </is>
      </c>
      <c r="B24" s="11" t="n">
        <v>0.35</v>
      </c>
      <c r="C24" s="8" t="inlineStr">
        <is>
          <t>of opportunity</t>
        </is>
      </c>
      <c r="D24" s="9" t="inlineStr">
        <is>
          <t>INPUT — editable</t>
        </is>
      </c>
    </row>
    <row r="25">
      <c r="A25" s="6" t="inlineStr">
        <is>
          <t>Late-pay reduction</t>
        </is>
      </c>
      <c r="B25" s="11" t="n">
        <v>0.4</v>
      </c>
      <c r="C25" s="8" t="inlineStr">
        <is>
          <t>of late costs</t>
        </is>
      </c>
      <c r="D25" s="9" t="inlineStr">
        <is>
          <t>INPUT — editable</t>
        </is>
      </c>
    </row>
    <row r="26">
      <c r="A26" s="6" t="inlineStr">
        <is>
          <t>Duplicate loss reduction</t>
        </is>
      </c>
      <c r="B26" s="11" t="n">
        <v>0.5</v>
      </c>
      <c r="C26" s="8" t="inlineStr">
        <is>
          <t>of duplicate losses</t>
        </is>
      </c>
      <c r="D26" s="9" t="inlineStr">
        <is>
          <t>INPUT — editable</t>
        </is>
      </c>
    </row>
    <row r="27">
      <c r="A27" s="6" t="inlineStr">
        <is>
          <t>Model years</t>
        </is>
      </c>
      <c r="B27" s="10" t="n">
        <v>3</v>
      </c>
      <c r="C27" s="8" t="inlineStr">
        <is>
          <t>years</t>
        </is>
      </c>
      <c r="D27" s="9" t="inlineStr">
        <is>
          <t>INPUT — editable</t>
        </is>
      </c>
    </row>
    <row r="28"/>
    <row r="29">
      <c r="A29" t="inlineStr">
        <is>
          <t>Derived labour pool</t>
        </is>
      </c>
      <c r="B29" s="12">
        <f>B8*B9</f>
        <v/>
      </c>
      <c r="C29" t="inlineStr">
        <is>
          <t>Annual loaded AP labour</t>
        </is>
      </c>
    </row>
    <row r="30">
      <c r="A30" t="inlineStr">
        <is>
          <t>Derived exception hours</t>
        </is>
      </c>
      <c r="B30" s="13">
        <f>B7*B11*B12/60</f>
        <v/>
      </c>
      <c r="C30" t="inlineStr">
        <is>
          <t>Hours/year on exceptions</t>
        </is>
      </c>
    </row>
  </sheetData>
  <mergeCells count="4">
    <mergeCell ref="A4:H4"/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41" customWidth="1" min="3" max="3"/>
    <col width="4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Evidence Room — AP Agent OS</t>
        </is>
      </c>
    </row>
    <row r="2">
      <c r="A2" s="2" t="inlineStr">
        <is>
          <t>Scenario Outputs</t>
        </is>
      </c>
    </row>
    <row r="3">
      <c r="A3" s="3" t="inlineStr">
        <is>
          <t>Conservative / Base / Upside — formula-driven</t>
        </is>
      </c>
    </row>
    <row r="4">
      <c r="A4" s="4" t="inlineStr">
        <is>
          <t>Agents that earn responsibility.</t>
        </is>
      </c>
    </row>
    <row r="5"/>
    <row r="6">
      <c r="A6" s="5" t="inlineStr">
        <is>
          <t>Metric</t>
        </is>
      </c>
      <c r="B6" s="5" t="inlineStr">
        <is>
          <t>Conservative</t>
        </is>
      </c>
      <c r="C6" s="5" t="inlineStr">
        <is>
          <t>Base</t>
        </is>
      </c>
      <c r="D6" s="5" t="inlineStr">
        <is>
          <t>Upside</t>
        </is>
      </c>
    </row>
    <row r="7">
      <c r="A7" s="6" t="inlineStr">
        <is>
          <t>Labour savings (annual)</t>
        </is>
      </c>
      <c r="B7" s="14">
        <f>Inputs!B29*Inputs!B20*Inputs!B23</f>
        <v/>
      </c>
      <c r="C7" s="14">
        <f>Inputs!B29*Inputs!B21*Inputs!B23</f>
        <v/>
      </c>
      <c r="D7" s="14">
        <f>Inputs!B29*Inputs!B22*Inputs!B23</f>
        <v/>
      </c>
    </row>
    <row r="8">
      <c r="A8" s="6" t="inlineStr">
        <is>
          <t>Exception capacity value</t>
        </is>
      </c>
      <c r="B8" s="14">
        <f>Inputs!B30*(Inputs!B9/2080)*Inputs!B20</f>
        <v/>
      </c>
      <c r="C8" s="14">
        <f>Inputs!B30*(Inputs!B9/2080)*Inputs!B21</f>
        <v/>
      </c>
      <c r="D8" s="14">
        <f>Inputs!B30*(Inputs!B9/2080)*Inputs!B22</f>
        <v/>
      </c>
    </row>
    <row r="9">
      <c r="A9" s="6" t="inlineStr">
        <is>
          <t>Late-pay reduction value</t>
        </is>
      </c>
      <c r="B9" s="14">
        <f>Inputs!B15*Inputs!B25*Inputs!B20/Inputs!B21</f>
        <v/>
      </c>
      <c r="C9" s="14">
        <f>Inputs!B15*Inputs!B25</f>
        <v/>
      </c>
      <c r="D9" s="14">
        <f>Inputs!B15*Inputs!B25*Inputs!B22/Inputs!B21</f>
        <v/>
      </c>
    </row>
    <row r="10">
      <c r="A10" s="6" t="inlineStr">
        <is>
          <t>Early-pay capture</t>
        </is>
      </c>
      <c r="B10" s="14">
        <f>Inputs!B16*Inputs!B24*Inputs!B20/Inputs!B21</f>
        <v/>
      </c>
      <c r="C10" s="14">
        <f>Inputs!B16*Inputs!B24</f>
        <v/>
      </c>
      <c r="D10" s="14">
        <f>Inputs!B16*Inputs!B24*Inputs!B22/Inputs!B21</f>
        <v/>
      </c>
    </row>
    <row r="11">
      <c r="A11" s="6" t="inlineStr">
        <is>
          <t>Duplicate loss avoided</t>
        </is>
      </c>
      <c r="B11" s="14">
        <f>Inputs!B14*Inputs!B13*Inputs!B26*Inputs!B20/Inputs!B21</f>
        <v/>
      </c>
      <c r="C11" s="14">
        <f>Inputs!B14*Inputs!B13*Inputs!B26</f>
        <v/>
      </c>
      <c r="D11" s="14">
        <f>Inputs!B14*Inputs!B13*Inputs!B26*Inputs!B22/Inputs!B21</f>
        <v/>
      </c>
    </row>
    <row r="12">
      <c r="A12" s="6" t="inlineStr">
        <is>
          <t>Gross annual benefit</t>
        </is>
      </c>
      <c r="B12" s="14">
        <f>B7+B8+B9+B10+B11</f>
        <v/>
      </c>
      <c r="C12" s="14">
        <f>C7+C8+C9+C10+C11</f>
        <v/>
      </c>
      <c r="D12" s="14">
        <f>D7+D8+D9+D10+D11</f>
        <v/>
      </c>
    </row>
    <row r="13">
      <c r="A13" s="6" t="inlineStr">
        <is>
          <t>AI + run cost</t>
        </is>
      </c>
      <c r="B13" s="14">
        <f>Inputs!B18</f>
        <v/>
      </c>
      <c r="C13" s="14">
        <f>Inputs!B18</f>
        <v/>
      </c>
      <c r="D13" s="14">
        <f>Inputs!B18</f>
        <v/>
      </c>
    </row>
    <row r="14">
      <c r="A14" s="6" t="inlineStr">
        <is>
          <t>Net annual benefit (Y2+)</t>
        </is>
      </c>
      <c r="B14" s="14">
        <f>B12-B13</f>
        <v/>
      </c>
      <c r="C14" s="14">
        <f>C12-C13</f>
        <v/>
      </c>
      <c r="D14" s="14">
        <f>D12-D13</f>
        <v/>
      </c>
    </row>
    <row r="15">
      <c r="A15" s="6" t="inlineStr">
        <is>
          <t>Year-1 net (after impl.)</t>
        </is>
      </c>
      <c r="B15" s="14">
        <f>B14-Inputs!B19</f>
        <v/>
      </c>
      <c r="C15" s="14">
        <f>C14-Inputs!B19</f>
        <v/>
      </c>
      <c r="D15" s="14">
        <f>D14-Inputs!B19</f>
        <v/>
      </c>
    </row>
    <row r="16">
      <c r="A16" s="6" t="inlineStr">
        <is>
          <t>3-year cumulative net</t>
        </is>
      </c>
      <c r="B16" s="14">
        <f>B15+B14*2</f>
        <v/>
      </c>
      <c r="C16" s="14">
        <f>C15+C14*2</f>
        <v/>
      </c>
      <c r="D16" s="14">
        <f>D15+D14*2</f>
        <v/>
      </c>
    </row>
    <row r="17">
      <c r="A17" s="6" t="inlineStr">
        <is>
          <t>Payback months (approx)</t>
        </is>
      </c>
      <c r="B17" s="15">
        <f>IF(B14&lt;=0,"n/a",Inputs!B19/(B14/12))</f>
        <v/>
      </c>
      <c r="C17" s="15">
        <f>IF(C14&lt;=0,"n/a",Inputs!B19/(C14/12))</f>
        <v/>
      </c>
      <c r="D17" s="15">
        <f>IF(D14&lt;=0,"n/a",Inputs!B19/(D14/12))</f>
        <v/>
      </c>
    </row>
    <row r="18">
      <c r="A18" s="6" t="inlineStr">
        <is>
          <t>Illustrative cost/invoice after</t>
        </is>
      </c>
      <c r="B18" s="16">
        <f>Inputs!B17*(1-Inputs!B20)</f>
        <v/>
      </c>
      <c r="C18" s="16">
        <f>Inputs!B17*(1-Inputs!B21)</f>
        <v/>
      </c>
      <c r="D18" s="16">
        <f>Inputs!B17*(1-Inputs!B22)</f>
        <v/>
      </c>
    </row>
    <row r="19"/>
    <row r="20">
      <c r="A20" s="17" t="inlineStr">
        <is>
          <t>ILLUSTRATIVE MODEL — replace Inputs with your data. Not a savings guarantee.</t>
        </is>
      </c>
    </row>
  </sheetData>
  <mergeCells count="5">
    <mergeCell ref="A4:H4"/>
    <mergeCell ref="A3:H3"/>
    <mergeCell ref="A2:H2"/>
    <mergeCell ref="A20:D20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  <col width="14" customWidth="1" min="7" max="7"/>
    <col width="14" customWidth="1" min="8" max="8"/>
  </cols>
  <sheetData>
    <row r="1">
      <c r="A1" s="1" t="inlineStr">
        <is>
          <t>Evidence Room — AP Agent OS</t>
        </is>
      </c>
    </row>
    <row r="2">
      <c r="A2" s="2" t="inlineStr">
        <is>
          <t>Sensitivity — Efficiency × Volume</t>
        </is>
      </c>
    </row>
    <row r="3">
      <c r="A3" s="3" t="inlineStr">
        <is>
          <t>Base-scaled net annual benefit</t>
        </is>
      </c>
    </row>
    <row r="4">
      <c r="A4" s="4" t="inlineStr">
        <is>
          <t>Agents that earn responsibility.</t>
        </is>
      </c>
    </row>
    <row r="5"/>
    <row r="6">
      <c r="A6" s="5" t="inlineStr">
        <is>
          <t>Eff. gain \ Annual volume</t>
        </is>
      </c>
      <c r="B6" s="18" t="n">
        <v>60000</v>
      </c>
      <c r="C6" s="18" t="n">
        <v>90000</v>
      </c>
      <c r="D6" s="18" t="n">
        <v>120000</v>
      </c>
      <c r="E6" s="18" t="n">
        <v>180000</v>
      </c>
      <c r="F6" s="18" t="n">
        <v>240000</v>
      </c>
    </row>
    <row r="7">
      <c r="A7" s="19" t="n">
        <v>0.1</v>
      </c>
      <c r="B7" s="14">
        <f>Inputs!B8*Inputs!B9*0.1*Inputs!B23+(Inputs!B15*Inputs!B25+Inputs!B16*Inputs!B24+Inputs!B14*Inputs!B13*Inputs!B26)*(60000/Inputs!B7)*(0.1/Inputs!B21)-Inputs!B18</f>
        <v/>
      </c>
      <c r="C7" s="14">
        <f>Inputs!B8*Inputs!B9*0.1*Inputs!B23+(Inputs!B15*Inputs!B25+Inputs!B16*Inputs!B24+Inputs!B14*Inputs!B13*Inputs!B26)*(90000/Inputs!B7)*(0.1/Inputs!B21)-Inputs!B18</f>
        <v/>
      </c>
      <c r="D7" s="14">
        <f>Inputs!B8*Inputs!B9*0.1*Inputs!B23+(Inputs!B15*Inputs!B25+Inputs!B16*Inputs!B24+Inputs!B14*Inputs!B13*Inputs!B26)*(120000/Inputs!B7)*(0.1/Inputs!B21)-Inputs!B18</f>
        <v/>
      </c>
      <c r="E7" s="14">
        <f>Inputs!B8*Inputs!B9*0.1*Inputs!B23+(Inputs!B15*Inputs!B25+Inputs!B16*Inputs!B24+Inputs!B14*Inputs!B13*Inputs!B26)*(180000/Inputs!B7)*(0.1/Inputs!B21)-Inputs!B18</f>
        <v/>
      </c>
      <c r="F7" s="14">
        <f>Inputs!B8*Inputs!B9*0.1*Inputs!B23+(Inputs!B15*Inputs!B25+Inputs!B16*Inputs!B24+Inputs!B14*Inputs!B13*Inputs!B26)*(240000/Inputs!B7)*(0.1/Inputs!B21)-Inputs!B18</f>
        <v/>
      </c>
    </row>
    <row r="8">
      <c r="A8" s="19" t="n">
        <v>0.15</v>
      </c>
      <c r="B8" s="14">
        <f>Inputs!B8*Inputs!B9*0.15*Inputs!B23+(Inputs!B15*Inputs!B25+Inputs!B16*Inputs!B24+Inputs!B14*Inputs!B13*Inputs!B26)*(60000/Inputs!B7)*(0.15/Inputs!B21)-Inputs!B18</f>
        <v/>
      </c>
      <c r="C8" s="14">
        <f>Inputs!B8*Inputs!B9*0.15*Inputs!B23+(Inputs!B15*Inputs!B25+Inputs!B16*Inputs!B24+Inputs!B14*Inputs!B13*Inputs!B26)*(90000/Inputs!B7)*(0.15/Inputs!B21)-Inputs!B18</f>
        <v/>
      </c>
      <c r="D8" s="14">
        <f>Inputs!B8*Inputs!B9*0.15*Inputs!B23+(Inputs!B15*Inputs!B25+Inputs!B16*Inputs!B24+Inputs!B14*Inputs!B13*Inputs!B26)*(120000/Inputs!B7)*(0.15/Inputs!B21)-Inputs!B18</f>
        <v/>
      </c>
      <c r="E8" s="14">
        <f>Inputs!B8*Inputs!B9*0.15*Inputs!B23+(Inputs!B15*Inputs!B25+Inputs!B16*Inputs!B24+Inputs!B14*Inputs!B13*Inputs!B26)*(180000/Inputs!B7)*(0.15/Inputs!B21)-Inputs!B18</f>
        <v/>
      </c>
      <c r="F8" s="14">
        <f>Inputs!B8*Inputs!B9*0.15*Inputs!B23+(Inputs!B15*Inputs!B25+Inputs!B16*Inputs!B24+Inputs!B14*Inputs!B13*Inputs!B26)*(240000/Inputs!B7)*(0.15/Inputs!B21)-Inputs!B18</f>
        <v/>
      </c>
    </row>
    <row r="9">
      <c r="A9" s="19" t="n">
        <v>0.2</v>
      </c>
      <c r="B9" s="14">
        <f>Inputs!B8*Inputs!B9*0.2*Inputs!B23+(Inputs!B15*Inputs!B25+Inputs!B16*Inputs!B24+Inputs!B14*Inputs!B13*Inputs!B26)*(60000/Inputs!B7)*(0.2/Inputs!B21)-Inputs!B18</f>
        <v/>
      </c>
      <c r="C9" s="14">
        <f>Inputs!B8*Inputs!B9*0.2*Inputs!B23+(Inputs!B15*Inputs!B25+Inputs!B16*Inputs!B24+Inputs!B14*Inputs!B13*Inputs!B26)*(90000/Inputs!B7)*(0.2/Inputs!B21)-Inputs!B18</f>
        <v/>
      </c>
      <c r="D9" s="14">
        <f>Inputs!B8*Inputs!B9*0.2*Inputs!B23+(Inputs!B15*Inputs!B25+Inputs!B16*Inputs!B24+Inputs!B14*Inputs!B13*Inputs!B26)*(120000/Inputs!B7)*(0.2/Inputs!B21)-Inputs!B18</f>
        <v/>
      </c>
      <c r="E9" s="14">
        <f>Inputs!B8*Inputs!B9*0.2*Inputs!B23+(Inputs!B15*Inputs!B25+Inputs!B16*Inputs!B24+Inputs!B14*Inputs!B13*Inputs!B26)*(180000/Inputs!B7)*(0.2/Inputs!B21)-Inputs!B18</f>
        <v/>
      </c>
      <c r="F9" s="14">
        <f>Inputs!B8*Inputs!B9*0.2*Inputs!B23+(Inputs!B15*Inputs!B25+Inputs!B16*Inputs!B24+Inputs!B14*Inputs!B13*Inputs!B26)*(240000/Inputs!B7)*(0.2/Inputs!B21)-Inputs!B18</f>
        <v/>
      </c>
    </row>
    <row r="10">
      <c r="A10" s="19" t="n">
        <v>0.25</v>
      </c>
      <c r="B10" s="14">
        <f>Inputs!B8*Inputs!B9*0.25*Inputs!B23+(Inputs!B15*Inputs!B25+Inputs!B16*Inputs!B24+Inputs!B14*Inputs!B13*Inputs!B26)*(60000/Inputs!B7)*(0.25/Inputs!B21)-Inputs!B18</f>
        <v/>
      </c>
      <c r="C10" s="14">
        <f>Inputs!B8*Inputs!B9*0.25*Inputs!B23+(Inputs!B15*Inputs!B25+Inputs!B16*Inputs!B24+Inputs!B14*Inputs!B13*Inputs!B26)*(90000/Inputs!B7)*(0.25/Inputs!B21)-Inputs!B18</f>
        <v/>
      </c>
      <c r="D10" s="14">
        <f>Inputs!B8*Inputs!B9*0.25*Inputs!B23+(Inputs!B15*Inputs!B25+Inputs!B16*Inputs!B24+Inputs!B14*Inputs!B13*Inputs!B26)*(120000/Inputs!B7)*(0.25/Inputs!B21)-Inputs!B18</f>
        <v/>
      </c>
      <c r="E10" s="14">
        <f>Inputs!B8*Inputs!B9*0.25*Inputs!B23+(Inputs!B15*Inputs!B25+Inputs!B16*Inputs!B24+Inputs!B14*Inputs!B13*Inputs!B26)*(180000/Inputs!B7)*(0.25/Inputs!B21)-Inputs!B18</f>
        <v/>
      </c>
      <c r="F10" s="14">
        <f>Inputs!B8*Inputs!B9*0.25*Inputs!B23+(Inputs!B15*Inputs!B25+Inputs!B16*Inputs!B24+Inputs!B14*Inputs!B13*Inputs!B26)*(240000/Inputs!B7)*(0.25/Inputs!B21)-Inputs!B18</f>
        <v/>
      </c>
    </row>
    <row r="11">
      <c r="A11" s="19" t="n">
        <v>0.3</v>
      </c>
      <c r="B11" s="14">
        <f>Inputs!B8*Inputs!B9*0.3*Inputs!B23+(Inputs!B15*Inputs!B25+Inputs!B16*Inputs!B24+Inputs!B14*Inputs!B13*Inputs!B26)*(60000/Inputs!B7)*(0.3/Inputs!B21)-Inputs!B18</f>
        <v/>
      </c>
      <c r="C11" s="14">
        <f>Inputs!B8*Inputs!B9*0.3*Inputs!B23+(Inputs!B15*Inputs!B25+Inputs!B16*Inputs!B24+Inputs!B14*Inputs!B13*Inputs!B26)*(90000/Inputs!B7)*(0.3/Inputs!B21)-Inputs!B18</f>
        <v/>
      </c>
      <c r="D11" s="14">
        <f>Inputs!B8*Inputs!B9*0.3*Inputs!B23+(Inputs!B15*Inputs!B25+Inputs!B16*Inputs!B24+Inputs!B14*Inputs!B13*Inputs!B26)*(120000/Inputs!B7)*(0.3/Inputs!B21)-Inputs!B18</f>
        <v/>
      </c>
      <c r="E11" s="14">
        <f>Inputs!B8*Inputs!B9*0.3*Inputs!B23+(Inputs!B15*Inputs!B25+Inputs!B16*Inputs!B24+Inputs!B14*Inputs!B13*Inputs!B26)*(180000/Inputs!B7)*(0.3/Inputs!B21)-Inputs!B18</f>
        <v/>
      </c>
      <c r="F11" s="14">
        <f>Inputs!B8*Inputs!B9*0.3*Inputs!B23+(Inputs!B15*Inputs!B25+Inputs!B16*Inputs!B24+Inputs!B14*Inputs!B13*Inputs!B26)*(240000/Inputs!B7)*(0.3/Inputs!B21)-Inputs!B18</f>
        <v/>
      </c>
    </row>
    <row r="12">
      <c r="A12" s="19" t="n">
        <v>0.35</v>
      </c>
      <c r="B12" s="14">
        <f>Inputs!B8*Inputs!B9*0.35*Inputs!B23+(Inputs!B15*Inputs!B25+Inputs!B16*Inputs!B24+Inputs!B14*Inputs!B13*Inputs!B26)*(60000/Inputs!B7)*(0.35/Inputs!B21)-Inputs!B18</f>
        <v/>
      </c>
      <c r="C12" s="14">
        <f>Inputs!B8*Inputs!B9*0.35*Inputs!B23+(Inputs!B15*Inputs!B25+Inputs!B16*Inputs!B24+Inputs!B14*Inputs!B13*Inputs!B26)*(90000/Inputs!B7)*(0.35/Inputs!B21)-Inputs!B18</f>
        <v/>
      </c>
      <c r="D12" s="14">
        <f>Inputs!B8*Inputs!B9*0.35*Inputs!B23+(Inputs!B15*Inputs!B25+Inputs!B16*Inputs!B24+Inputs!B14*Inputs!B13*Inputs!B26)*(120000/Inputs!B7)*(0.35/Inputs!B21)-Inputs!B18</f>
        <v/>
      </c>
      <c r="E12" s="14">
        <f>Inputs!B8*Inputs!B9*0.35*Inputs!B23+(Inputs!B15*Inputs!B25+Inputs!B16*Inputs!B24+Inputs!B14*Inputs!B13*Inputs!B26)*(180000/Inputs!B7)*(0.35/Inputs!B21)-Inputs!B18</f>
        <v/>
      </c>
      <c r="F12" s="14">
        <f>Inputs!B8*Inputs!B9*0.35*Inputs!B23+(Inputs!B15*Inputs!B25+Inputs!B16*Inputs!B24+Inputs!B14*Inputs!B13*Inputs!B26)*(240000/Inputs!B7)*(0.35/Inputs!B21)-Inputs!B18</f>
        <v/>
      </c>
    </row>
    <row r="13">
      <c r="A13" s="19" t="n">
        <v>0.4</v>
      </c>
      <c r="B13" s="14">
        <f>Inputs!B8*Inputs!B9*0.4*Inputs!B23+(Inputs!B15*Inputs!B25+Inputs!B16*Inputs!B24+Inputs!B14*Inputs!B13*Inputs!B26)*(60000/Inputs!B7)*(0.4/Inputs!B21)-Inputs!B18</f>
        <v/>
      </c>
      <c r="C13" s="14">
        <f>Inputs!B8*Inputs!B9*0.4*Inputs!B23+(Inputs!B15*Inputs!B25+Inputs!B16*Inputs!B24+Inputs!B14*Inputs!B13*Inputs!B26)*(90000/Inputs!B7)*(0.4/Inputs!B21)-Inputs!B18</f>
        <v/>
      </c>
      <c r="D13" s="14">
        <f>Inputs!B8*Inputs!B9*0.4*Inputs!B23+(Inputs!B15*Inputs!B25+Inputs!B16*Inputs!B24+Inputs!B14*Inputs!B13*Inputs!B26)*(120000/Inputs!B7)*(0.4/Inputs!B21)-Inputs!B18</f>
        <v/>
      </c>
      <c r="E13" s="14">
        <f>Inputs!B8*Inputs!B9*0.4*Inputs!B23+(Inputs!B15*Inputs!B25+Inputs!B16*Inputs!B24+Inputs!B14*Inputs!B13*Inputs!B26)*(180000/Inputs!B7)*(0.4/Inputs!B21)-Inputs!B18</f>
        <v/>
      </c>
      <c r="F13" s="14">
        <f>Inputs!B8*Inputs!B9*0.4*Inputs!B23+(Inputs!B15*Inputs!B25+Inputs!B16*Inputs!B24+Inputs!B14*Inputs!B13*Inputs!B26)*(240000/Inputs!B7)*(0.4/Inputs!B21)-Inputs!B18</f>
        <v/>
      </c>
    </row>
    <row r="14"/>
    <row r="15">
      <c r="A15" s="20" t="inlineStr">
        <is>
          <t>Cells are formulas keyed off Inputs. Change Inputs to recompute.</t>
        </is>
      </c>
    </row>
  </sheetData>
  <mergeCells count="4">
    <mergeCell ref="A4:H4"/>
    <mergeCell ref="A3:H3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Evidence Room — AP Agent OS</t>
        </is>
      </c>
    </row>
    <row r="2">
      <c r="A2" s="2" t="inlineStr">
        <is>
          <t>Notes &amp; External Benchmarks</t>
        </is>
      </c>
    </row>
    <row r="3">
      <c r="A3" s="3" t="inlineStr">
        <is>
          <t>Industry context only — not a guarantee of your results</t>
        </is>
      </c>
    </row>
    <row r="4">
      <c r="A4" s="4" t="inlineStr">
        <is>
          <t>Agents that earn responsibility.</t>
        </is>
      </c>
    </row>
    <row r="5"/>
    <row r="6">
      <c r="A6" s="5" t="inlineStr">
        <is>
          <t>Field</t>
        </is>
      </c>
      <c r="B6" s="5" t="inlineStr">
        <is>
          <t>Value</t>
        </is>
      </c>
    </row>
    <row r="7">
      <c r="A7" s="6" t="inlineStr">
        <is>
          <t>Source</t>
        </is>
      </c>
      <c r="B7" s="8" t="inlineStr">
        <is>
          <t>Ardent Partners — State of ePayables (2025 survey averages)</t>
        </is>
      </c>
    </row>
    <row r="8">
      <c r="A8" s="6" t="inlineStr">
        <is>
          <t>Avg cost per invoice</t>
        </is>
      </c>
      <c r="B8" s="8" t="inlineStr">
        <is>
          <t>$9.84</t>
        </is>
      </c>
    </row>
    <row r="9">
      <c r="A9" s="6" t="inlineStr">
        <is>
          <t>Exception rate</t>
        </is>
      </c>
      <c r="B9" s="8" t="inlineStr">
        <is>
          <t>18.4%</t>
        </is>
      </c>
    </row>
    <row r="10">
      <c r="A10" s="6" t="inlineStr">
        <is>
          <t>Straight-through processing (STP)</t>
        </is>
      </c>
      <c r="B10" s="8" t="inlineStr">
        <is>
          <t>35.4%</t>
        </is>
      </c>
    </row>
    <row r="11">
      <c r="A11" s="6" t="inlineStr">
        <is>
          <t>Label</t>
        </is>
      </c>
      <c r="B11" s="21" t="inlineStr">
        <is>
          <t>EXTERNAL BENCHMARK — NOT A GUARANTEE</t>
        </is>
      </c>
    </row>
    <row r="12">
      <c r="A12" s="6" t="inlineStr">
        <is>
          <t>How to use</t>
        </is>
      </c>
      <c r="B12" s="8" t="inlineStr">
        <is>
          <t>Locate your baseline relative to survey averages. Do not substitute these for measured KPIs or treat them as Evidence Room performance claims.</t>
        </is>
      </c>
    </row>
    <row r="13">
      <c r="A13" s="6" t="inlineStr">
        <is>
          <t>Forbidden use</t>
        </is>
      </c>
      <c r="B13" s="8" t="inlineStr">
        <is>
          <t>Do not market 'guaranteed to reach $9.84'. Worksheets labeled ILLUSTRATIVE require your own inputs.</t>
        </is>
      </c>
    </row>
    <row r="14">
      <c r="A14" s="6" t="inlineStr">
        <is>
          <t>Product</t>
        </is>
      </c>
      <c r="B14" s="8" t="inlineStr">
        <is>
          <t>Evidence Room provides methodologies and templates. Humans remain accountable for approvals, payments, and audit representations.</t>
        </is>
      </c>
    </row>
  </sheetData>
  <mergeCells count="4">
    <mergeCell ref="A4:H4"/>
    <mergeCell ref="A3:H3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Evidence Room — AP Agent OS</t>
        </is>
      </c>
    </row>
    <row r="2">
      <c r="A2" s="2" t="inlineStr">
        <is>
          <t>Disclaimer</t>
        </is>
      </c>
    </row>
    <row r="3">
      <c r="A3" s="3" t="inlineStr">
        <is>
          <t>Read before relying on model outputs</t>
        </is>
      </c>
    </row>
    <row r="4">
      <c r="A4" s="4" t="inlineStr">
        <is>
          <t>Agents that earn responsibility.</t>
        </is>
      </c>
    </row>
    <row r="5"/>
    <row r="6" ht="36" customHeight="1">
      <c r="A6" s="22" t="inlineStr">
        <is>
          <t>Evidence Room products provide educational and operational templates for designing, governing, and measuring AI agents that assist Accounts Payable work.</t>
        </is>
      </c>
    </row>
    <row r="7" ht="36" customHeight="1">
      <c r="A7" s="22" t="inlineStr">
        <is>
          <t>They are not legal, tax, audit, accounting, investment, or compliance advice.</t>
        </is>
      </c>
    </row>
    <row r="8" ht="36" customHeight="1">
      <c r="A8" s="22" t="inlineStr">
        <is>
          <t>They are not a substitute for your ERP, AP automation platform, payment provider, or professional advisors.</t>
        </is>
      </c>
    </row>
    <row r="9" ht="36" customHeight="1">
      <c r="A9" s="22" t="inlineStr">
        <is>
          <t>AI agents can be wrong. Humans remain accountable for approvals, postings, payments, supplier master changes, and representations to auditors.</t>
        </is>
      </c>
    </row>
    <row r="10" ht="36" customHeight="1">
      <c r="A10" s="22" t="inlineStr">
        <is>
          <t>We do not guarantee any reduction in cost per invoice, cycle time, exception rate, fraud losses, compliance findings, or ROI.</t>
        </is>
      </c>
    </row>
    <row r="11" ht="36" customHeight="1">
      <c r="A11" s="22" t="inlineStr">
        <is>
          <t>Industry benchmarks attributed to Ardent Partners (2025) — $9.84 avg cost/invoice, 18.4% exception rate, 35.4% STP — are third-party survey averages for context only. Cited only on Notes sheets.</t>
        </is>
      </c>
    </row>
    <row r="12" ht="36" customHeight="1">
      <c r="A12" s="22" t="inlineStr">
        <is>
          <t>Any cell labeled ILLUSTRATIVE is sample data for structure demonstration — replace with your measured figures before decisions.</t>
        </is>
      </c>
    </row>
    <row r="13" ht="36" customHeight="1">
      <c r="A13" s="22" t="inlineStr">
        <is>
          <t>Confidential — licensed for internal use by the purchasing organisation.</t>
        </is>
      </c>
    </row>
  </sheetData>
  <mergeCells count="12">
    <mergeCell ref="A9:H9"/>
    <mergeCell ref="A4:H4"/>
    <mergeCell ref="A12:H12"/>
    <mergeCell ref="A3:H3"/>
    <mergeCell ref="A7:H7"/>
    <mergeCell ref="A2:H2"/>
    <mergeCell ref="A10:H10"/>
    <mergeCell ref="A13:H13"/>
    <mergeCell ref="A11:H11"/>
    <mergeCell ref="A1:H1"/>
    <mergeCell ref="A8:H8"/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2026-09-20T16:10:35Z</dcterms:created>
  <dcterms:modified xsi:type="dcterms:W3CDTF">2026-09-20T16:10:35Z</dcterms:modified>
</cp:coreProperties>
</file>