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shflow" sheetId="2" state="visible" r:id="rId2"/>
    <sheet name="Exec Summary" sheetId="3" state="visible" r:id="rId3"/>
    <sheet name="Notes" sheetId="4" state="visible" r:id="rId4"/>
    <sheet name="Disclaim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0B1F2A"/>
      <sz val="18"/>
    </font>
    <font>
      <name val="Calibri"/>
      <b val="1"/>
      <color rgb="000B1F2A"/>
      <sz val="16"/>
    </font>
    <font>
      <name val="Calibri"/>
      <i val="1"/>
      <color rgb="001F5C5C"/>
      <sz val="10"/>
    </font>
    <font>
      <name val="Calibri"/>
      <b val="1"/>
      <color rgb="00C47A2C"/>
      <sz val="10"/>
    </font>
    <font>
      <name val="Calibri"/>
      <b val="1"/>
      <color rgb="00FFFFFF"/>
      <sz val="11"/>
    </font>
    <font>
      <name val="Calibri"/>
      <b val="1"/>
      <color rgb="001F5C5C"/>
      <sz val="10"/>
    </font>
    <font>
      <name val="Calibri"/>
      <b val="1"/>
      <color rgb="000B1F2A"/>
      <sz val="10"/>
    </font>
    <font>
      <name val="Calibri"/>
      <color rgb="003D4F5A"/>
      <sz val="10"/>
    </font>
    <font>
      <name val="Calibri"/>
      <i val="1"/>
      <color rgb="008A8580"/>
      <sz val="9"/>
    </font>
  </fonts>
  <fills count="6">
    <fill>
      <patternFill/>
    </fill>
    <fill>
      <patternFill patternType="gray125"/>
    </fill>
    <fill>
      <patternFill patternType="solid">
        <fgColor rgb="00F7F4EE"/>
      </patternFill>
    </fill>
    <fill>
      <patternFill patternType="solid">
        <fgColor rgb="000B1F2A"/>
      </patternFill>
    </fill>
    <fill>
      <patternFill patternType="solid">
        <fgColor rgb="00FFFCF7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4" fontId="0" fillId="4" borderId="1" pivotButton="0" quotePrefix="0" xfId="0"/>
    <xf numFmtId="0" fontId="8" fillId="0" borderId="0" pivotButton="0" quotePrefix="0" xfId="0"/>
    <xf numFmtId="164" fontId="0" fillId="4" borderId="1" pivotButton="0" quotePrefix="0" xfId="0"/>
    <xf numFmtId="165" fontId="0" fillId="0" borderId="1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4" fillId="5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4" fillId="5" borderId="1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43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ER Business Case Model</t>
        </is>
      </c>
    </row>
    <row r="3">
      <c r="A3" s="3" t="inlineStr">
        <is>
          <t>Board-ready structure — illustrative until you own the inputs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ID</t>
        </is>
      </c>
      <c r="B6" s="5" t="inlineStr">
        <is>
          <t>Assumption</t>
        </is>
      </c>
      <c r="C6" s="5" t="inlineStr">
        <is>
          <t>Value</t>
        </is>
      </c>
      <c r="D6" s="5" t="inlineStr">
        <is>
          <t>Unit / note</t>
        </is>
      </c>
    </row>
    <row r="7">
      <c r="A7" s="6" t="inlineStr">
        <is>
          <t>A1</t>
        </is>
      </c>
      <c r="B7" s="7" t="inlineStr">
        <is>
          <t>Annual invoice volume</t>
        </is>
      </c>
      <c r="C7" s="8" t="n">
        <v>120000</v>
      </c>
      <c r="D7" s="9" t="inlineStr">
        <is>
          <t>invoices</t>
        </is>
      </c>
    </row>
    <row r="8">
      <c r="A8" s="6" t="inlineStr">
        <is>
          <t>A2</t>
        </is>
      </c>
      <c r="B8" s="7" t="inlineStr">
        <is>
          <t>Current cost per invoice</t>
        </is>
      </c>
      <c r="C8" s="8" t="n">
        <v>12.5</v>
      </c>
      <c r="D8" s="9" t="inlineStr">
        <is>
          <t>USD</t>
        </is>
      </c>
    </row>
    <row r="9">
      <c r="A9" s="6" t="inlineStr">
        <is>
          <t>A3</t>
        </is>
      </c>
      <c r="B9" s="7" t="inlineStr">
        <is>
          <t>Target cost per invoice (internal goal)</t>
        </is>
      </c>
      <c r="C9" s="8" t="n">
        <v>10</v>
      </c>
      <c r="D9" s="9" t="inlineStr">
        <is>
          <t>USD — internal goal, not industry promise</t>
        </is>
      </c>
    </row>
    <row r="10">
      <c r="A10" s="6" t="inlineStr">
        <is>
          <t>A4</t>
        </is>
      </c>
      <c r="B10" s="7" t="inlineStr">
        <is>
          <t>AP loaded labour pool</t>
        </is>
      </c>
      <c r="C10" s="8" t="n">
        <v>680000</v>
      </c>
      <c r="D10" s="9" t="inlineStr">
        <is>
          <t>USD/year</t>
        </is>
      </c>
    </row>
    <row r="11">
      <c r="A11" s="6" t="inlineStr">
        <is>
          <t>A5</t>
        </is>
      </c>
      <c r="B11" s="7" t="inlineStr">
        <is>
          <t>One-time implementation</t>
        </is>
      </c>
      <c r="C11" s="8" t="n">
        <v>75000</v>
      </c>
      <c r="D11" s="9" t="inlineStr">
        <is>
          <t>USD</t>
        </is>
      </c>
    </row>
    <row r="12">
      <c r="A12" s="6" t="inlineStr">
        <is>
          <t>A6</t>
        </is>
      </c>
      <c r="B12" s="7" t="inlineStr">
        <is>
          <t>Annual platform / AI run cost</t>
        </is>
      </c>
      <c r="C12" s="8" t="n">
        <v>48000</v>
      </c>
      <c r="D12" s="9" t="inlineStr">
        <is>
          <t>USD</t>
        </is>
      </c>
    </row>
    <row r="13">
      <c r="A13" s="6" t="inlineStr">
        <is>
          <t>A7</t>
        </is>
      </c>
      <c r="B13" s="7" t="inlineStr">
        <is>
          <t>Change / training cost (Y1)</t>
        </is>
      </c>
      <c r="C13" s="8" t="n">
        <v>25000</v>
      </c>
      <c r="D13" s="9" t="inlineStr">
        <is>
          <t>USD</t>
        </is>
      </c>
    </row>
    <row r="14">
      <c r="A14" s="6" t="inlineStr">
        <is>
          <t>A8</t>
        </is>
      </c>
      <c r="B14" s="7" t="inlineStr">
        <is>
          <t>Benefit realisation ramp Y1</t>
        </is>
      </c>
      <c r="C14" s="10" t="n">
        <v>0.5</v>
      </c>
      <c r="D14" s="9" t="inlineStr">
        <is>
          <t>fraction</t>
        </is>
      </c>
    </row>
    <row r="15">
      <c r="A15" s="6" t="inlineStr">
        <is>
          <t>A9</t>
        </is>
      </c>
      <c r="B15" s="7" t="inlineStr">
        <is>
          <t>Benefit realisation ramp Y2</t>
        </is>
      </c>
      <c r="C15" s="10" t="n">
        <v>0.85</v>
      </c>
      <c r="D15" s="9" t="inlineStr">
        <is>
          <t>fraction</t>
        </is>
      </c>
    </row>
    <row r="16">
      <c r="A16" s="6" t="inlineStr">
        <is>
          <t>A10</t>
        </is>
      </c>
      <c r="B16" s="7" t="inlineStr">
        <is>
          <t>Benefit realisation ramp Y3</t>
        </is>
      </c>
      <c r="C16" s="10" t="n">
        <v>1</v>
      </c>
      <c r="D16" s="9" t="inlineStr">
        <is>
          <t>fraction</t>
        </is>
      </c>
    </row>
    <row r="17">
      <c r="A17" s="6" t="inlineStr">
        <is>
          <t>A11</t>
        </is>
      </c>
      <c r="B17" s="7" t="inlineStr">
        <is>
          <t>Working capital benefit (annual, optional)</t>
        </is>
      </c>
      <c r="C17" s="8" t="n">
        <v>40000</v>
      </c>
      <c r="D17" s="9" t="inlineStr">
        <is>
          <t>USD — optional</t>
        </is>
      </c>
    </row>
    <row r="18">
      <c r="A18" s="6" t="inlineStr">
        <is>
          <t>A12</t>
        </is>
      </c>
      <c r="B18" s="7" t="inlineStr">
        <is>
          <t>Risk reduction value (qualitative $)</t>
        </is>
      </c>
      <c r="C18" s="8" t="n">
        <v>20000</v>
      </c>
      <c r="D18" s="9" t="inlineStr">
        <is>
          <t>USD — conservative proxy</t>
        </is>
      </c>
    </row>
    <row r="19">
      <c r="A19" s="6" t="inlineStr">
        <is>
          <t>A13</t>
        </is>
      </c>
      <c r="B19" s="7" t="inlineStr">
        <is>
          <t>Discount rate</t>
        </is>
      </c>
      <c r="C19" s="10" t="n">
        <v>0.08</v>
      </c>
      <c r="D19" s="9" t="inlineStr">
        <is>
          <t>for NPV</t>
        </is>
      </c>
    </row>
    <row r="20">
      <c r="A20" s="6" t="inlineStr">
        <is>
          <t>A14</t>
        </is>
      </c>
      <c r="B20" s="7" t="inlineStr">
        <is>
          <t>Horizon years</t>
        </is>
      </c>
      <c r="C20" s="8" t="n">
        <v>3</v>
      </c>
      <c r="D20" s="9" t="inlineStr">
        <is>
          <t>years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3-Year Cashflow (formulas)</t>
        </is>
      </c>
    </row>
    <row r="3">
      <c r="A3" s="3" t="inlineStr">
        <is>
          <t>ILLUSTRATIVE until Assumptions are yours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Line</t>
        </is>
      </c>
      <c r="B6" s="5" t="inlineStr">
        <is>
          <t>Year 1</t>
        </is>
      </c>
      <c r="C6" s="5" t="inlineStr">
        <is>
          <t>Year 2</t>
        </is>
      </c>
      <c r="D6" s="5" t="inlineStr">
        <is>
          <t>Year 3</t>
        </is>
      </c>
    </row>
    <row r="7">
      <c r="A7" s="7" t="inlineStr">
        <is>
          <t>Gross cost/invoice savings</t>
        </is>
      </c>
      <c r="B7" s="11">
        <f>Assumptions!C7*(Assumptions!C8-Assumptions!C9)*Assumptions!C14</f>
        <v/>
      </c>
      <c r="C7" s="11">
        <f>Assumptions!C7*(Assumptions!C8-Assumptions!C9)*Assumptions!C15</f>
        <v/>
      </c>
      <c r="D7" s="11">
        <f>Assumptions!C7*(Assumptions!C8-Assumptions!C9)*Assumptions!C16</f>
        <v/>
      </c>
    </row>
    <row r="8">
      <c r="A8" s="7" t="inlineStr">
        <is>
          <t>Working capital benefit</t>
        </is>
      </c>
      <c r="B8" s="11">
        <f>Assumptions!C17*Assumptions!C14</f>
        <v/>
      </c>
      <c r="C8" s="11">
        <f>Assumptions!C17*Assumptions!C15</f>
        <v/>
      </c>
      <c r="D8" s="11">
        <f>Assumptions!C17*Assumptions!C16</f>
        <v/>
      </c>
    </row>
    <row r="9">
      <c r="A9" s="7" t="inlineStr">
        <is>
          <t>Risk reduction proxy</t>
        </is>
      </c>
      <c r="B9" s="11">
        <f>Assumptions!C18*Assumptions!C14</f>
        <v/>
      </c>
      <c r="C9" s="11">
        <f>Assumptions!C18*Assumptions!C15</f>
        <v/>
      </c>
      <c r="D9" s="11">
        <f>Assumptions!C18*Assumptions!C16</f>
        <v/>
      </c>
    </row>
    <row r="10">
      <c r="A10" s="7" t="inlineStr">
        <is>
          <t>Total benefits</t>
        </is>
      </c>
      <c r="B10" s="11">
        <f>B7+B8+B9</f>
        <v/>
      </c>
      <c r="C10" s="11">
        <f>C7+C8+C9</f>
        <v/>
      </c>
      <c r="D10" s="11">
        <f>D7+D8+D9</f>
        <v/>
      </c>
    </row>
    <row r="11">
      <c r="A11" s="7" t="inlineStr">
        <is>
          <t>Platform / AI run cost</t>
        </is>
      </c>
      <c r="B11" s="11">
        <f>Assumptions!C12</f>
        <v/>
      </c>
      <c r="C11" s="11">
        <f>Assumptions!C12</f>
        <v/>
      </c>
      <c r="D11" s="11">
        <f>Assumptions!C12</f>
        <v/>
      </c>
    </row>
    <row r="12">
      <c r="A12" s="7" t="inlineStr">
        <is>
          <t>Implementation (one-time)</t>
        </is>
      </c>
      <c r="B12" s="11">
        <f>Assumptions!C11</f>
        <v/>
      </c>
      <c r="C12" s="11" t="n">
        <v>0</v>
      </c>
      <c r="D12" s="11" t="n">
        <v>0</v>
      </c>
    </row>
    <row r="13">
      <c r="A13" s="7" t="inlineStr">
        <is>
          <t>Change / training</t>
        </is>
      </c>
      <c r="B13" s="11">
        <f>Assumptions!C13</f>
        <v/>
      </c>
      <c r="C13" s="11" t="n">
        <v>0</v>
      </c>
      <c r="D13" s="11" t="n">
        <v>0</v>
      </c>
    </row>
    <row r="14">
      <c r="A14" s="7" t="inlineStr">
        <is>
          <t>Total costs</t>
        </is>
      </c>
      <c r="B14" s="11">
        <f>B11+B12+B13</f>
        <v/>
      </c>
      <c r="C14" s="11">
        <f>C11+C12+C13</f>
        <v/>
      </c>
      <c r="D14" s="11">
        <f>D11+D12+D13</f>
        <v/>
      </c>
    </row>
    <row r="15">
      <c r="A15" s="7" t="inlineStr">
        <is>
          <t>Net cashflow</t>
        </is>
      </c>
      <c r="B15" s="11">
        <f>B10-B14</f>
        <v/>
      </c>
      <c r="C15" s="11">
        <f>C10-C14</f>
        <v/>
      </c>
      <c r="D15" s="11">
        <f>D10-D14</f>
        <v/>
      </c>
    </row>
    <row r="16"/>
    <row r="17">
      <c r="A17" t="inlineStr">
        <is>
          <t>Cumulative</t>
        </is>
      </c>
      <c r="B17" s="12">
        <f>B15</f>
        <v/>
      </c>
      <c r="C17" s="12">
        <f>B17+C15</f>
        <v/>
      </c>
      <c r="D17" s="12">
        <f>C17+D15</f>
        <v/>
      </c>
    </row>
    <row r="18"/>
    <row r="19">
      <c r="A19" t="inlineStr">
        <is>
          <t>NPV (3yr)</t>
        </is>
      </c>
      <c r="B19" s="13">
        <f>B15/(1+Assumptions!C19)+C15/(1+Assumptions!C19)^2+D15/(1+Assumptions!C19)^3</f>
        <v/>
      </c>
    </row>
    <row r="20">
      <c r="A20" t="inlineStr">
        <is>
          <t>Simple ROI (3yr benefits / 3yr costs)</t>
        </is>
      </c>
      <c r="B20" s="14">
        <f>(B10+C10+D10)/(B14+C14+D14)</f>
        <v/>
      </c>
    </row>
    <row r="21"/>
    <row r="22">
      <c r="A22" s="15" t="inlineStr">
        <is>
          <t>ILLUSTRATIVE MODEL — industry averages are external context on Notes only, not embedded targets.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Room — AP Agent OS</t>
        </is>
      </c>
    </row>
    <row r="2">
      <c r="A2" s="2" t="inlineStr">
        <is>
          <t>Executive Summary Fields</t>
        </is>
      </c>
    </row>
    <row r="3">
      <c r="A3" s="3" t="inlineStr">
        <is>
          <t>Narrative hooks for board pack</t>
        </is>
      </c>
    </row>
    <row r="4">
      <c r="A4" s="4" t="inlineStr">
        <is>
          <t>Agents that earn responsibility.</t>
        </is>
      </c>
    </row>
    <row r="6">
      <c r="A6" t="inlineStr">
        <is>
          <t>Problem statement</t>
        </is>
      </c>
      <c r="B6" t="inlineStr">
        <is>
          <t>AP lacks a governed agent operating model; exceptions and evidence are uneven.</t>
        </is>
      </c>
    </row>
    <row r="7">
      <c r="A7" t="inlineStr">
        <is>
          <t>Proposed approach</t>
        </is>
      </c>
      <c r="B7" t="inlineStr">
        <is>
          <t>Evidence Room earn-up: Observe → Recommend → Draft → Execute (narrow) → Expand.</t>
        </is>
      </c>
    </row>
    <row r="8">
      <c r="A8" t="inlineStr">
        <is>
          <t>Investment asked</t>
        </is>
      </c>
      <c r="B8" t="inlineStr">
        <is>
          <t>Y1 implementation + change costs; ongoing platform run cost (see Assumptions).</t>
        </is>
      </c>
    </row>
    <row r="9">
      <c r="A9" t="inlineStr">
        <is>
          <t>Decision requested</t>
        </is>
      </c>
      <c r="B9" t="inlineStr">
        <is>
          <t>Approve Phase 0–3 pilot with kill-switches; revisit bounded execute after earn-in.</t>
        </is>
      </c>
    </row>
    <row r="10">
      <c r="A10" t="inlineStr">
        <is>
          <t>Non-goals</t>
        </is>
      </c>
      <c r="B10" t="inlineStr">
        <is>
          <t>No guaranteed cost/invoice to industry average; no unsupervised payment release; no fraud certainty claims.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Notes &amp; External Benchmarks</t>
        </is>
      </c>
    </row>
    <row r="3">
      <c r="A3" s="3" t="inlineStr">
        <is>
          <t>Industry context only — not a guarantee of your results</t>
        </is>
      </c>
    </row>
    <row r="4">
      <c r="A4" s="4" t="inlineStr">
        <is>
          <t>Agents that earn responsibility.</t>
        </is>
      </c>
    </row>
    <row r="5"/>
    <row r="6">
      <c r="A6" s="5" t="inlineStr">
        <is>
          <t>Field</t>
        </is>
      </c>
      <c r="B6" s="5" t="inlineStr">
        <is>
          <t>Value</t>
        </is>
      </c>
    </row>
    <row r="7">
      <c r="A7" s="16" t="inlineStr">
        <is>
          <t>Source</t>
        </is>
      </c>
      <c r="B7" s="17" t="inlineStr">
        <is>
          <t>Ardent Partners — State of ePayables (2025 survey averages)</t>
        </is>
      </c>
    </row>
    <row r="8">
      <c r="A8" s="16" t="inlineStr">
        <is>
          <t>Avg cost per invoice</t>
        </is>
      </c>
      <c r="B8" s="17" t="inlineStr">
        <is>
          <t>$9.84</t>
        </is>
      </c>
    </row>
    <row r="9">
      <c r="A9" s="16" t="inlineStr">
        <is>
          <t>Exception rate</t>
        </is>
      </c>
      <c r="B9" s="17" t="inlineStr">
        <is>
          <t>18.4%</t>
        </is>
      </c>
    </row>
    <row r="10">
      <c r="A10" s="16" t="inlineStr">
        <is>
          <t>Straight-through processing (STP)</t>
        </is>
      </c>
      <c r="B10" s="17" t="inlineStr">
        <is>
          <t>35.4%</t>
        </is>
      </c>
    </row>
    <row r="11">
      <c r="A11" s="16" t="inlineStr">
        <is>
          <t>Label</t>
        </is>
      </c>
      <c r="B11" s="18" t="inlineStr">
        <is>
          <t>EXTERNAL BENCHMARK — NOT A GUARANTEE</t>
        </is>
      </c>
    </row>
    <row r="12">
      <c r="A12" s="16" t="inlineStr">
        <is>
          <t>How to use</t>
        </is>
      </c>
      <c r="B12" s="17" t="inlineStr">
        <is>
          <t>Locate your baseline relative to survey averages. Do not substitute these for measured KPIs or treat them as Evidence Room performance claims.</t>
        </is>
      </c>
    </row>
    <row r="13">
      <c r="A13" s="16" t="inlineStr">
        <is>
          <t>Forbidden use</t>
        </is>
      </c>
      <c r="B13" s="17" t="inlineStr">
        <is>
          <t>Do not market 'guaranteed to reach $9.84'. Worksheets labeled ILLUSTRATIVE require your own inputs.</t>
        </is>
      </c>
    </row>
    <row r="14">
      <c r="A14" s="16" t="inlineStr">
        <is>
          <t>Product</t>
        </is>
      </c>
      <c r="B14" s="17" t="inlineStr">
        <is>
          <t>Evidence Room provides methodologies and templates. Humans remain accountable for approvals, payments, and audit representations.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Evidence Room — AP Agent OS</t>
        </is>
      </c>
    </row>
    <row r="2">
      <c r="A2" s="2" t="inlineStr">
        <is>
          <t>Disclaimer</t>
        </is>
      </c>
    </row>
    <row r="3">
      <c r="A3" s="3" t="inlineStr">
        <is>
          <t>Read before relying on model outputs</t>
        </is>
      </c>
    </row>
    <row r="4">
      <c r="A4" s="4" t="inlineStr">
        <is>
          <t>Agents that earn responsibility.</t>
        </is>
      </c>
    </row>
    <row r="5"/>
    <row r="6" ht="36" customHeight="1">
      <c r="A6" s="19" t="inlineStr">
        <is>
          <t>Evidence Room products provide educational and operational templates for designing, governing, and measuring AI agents that assist Accounts Payable work.</t>
        </is>
      </c>
    </row>
    <row r="7" ht="36" customHeight="1">
      <c r="A7" s="19" t="inlineStr">
        <is>
          <t>They are not legal, tax, audit, accounting, investment, or compliance advice.</t>
        </is>
      </c>
    </row>
    <row r="8" ht="36" customHeight="1">
      <c r="A8" s="19" t="inlineStr">
        <is>
          <t>They are not a substitute for your ERP, AP automation platform, payment provider, or professional advisors.</t>
        </is>
      </c>
    </row>
    <row r="9" ht="36" customHeight="1">
      <c r="A9" s="19" t="inlineStr">
        <is>
          <t>AI agents can be wrong. Humans remain accountable for approvals, postings, payments, supplier master changes, and representations to auditors.</t>
        </is>
      </c>
    </row>
    <row r="10" ht="36" customHeight="1">
      <c r="A10" s="19" t="inlineStr">
        <is>
          <t>We do not guarantee any reduction in cost per invoice, cycle time, exception rate, fraud losses, compliance findings, or ROI.</t>
        </is>
      </c>
    </row>
    <row r="11" ht="36" customHeight="1">
      <c r="A11" s="19" t="inlineStr">
        <is>
          <t>Industry benchmarks attributed to Ardent Partners (2025) — $9.84 avg cost/invoice, 18.4% exception rate, 35.4% STP — are third-party survey averages for context only. Cited only on Notes sheets.</t>
        </is>
      </c>
    </row>
    <row r="12" ht="36" customHeight="1">
      <c r="A12" s="19" t="inlineStr">
        <is>
          <t>Any cell labeled ILLUSTRATIVE is sample data for structure demonstration — replace with your measured figures before decisions.</t>
        </is>
      </c>
    </row>
    <row r="13" ht="36" customHeight="1">
      <c r="A13" s="19" t="inlineStr">
        <is>
          <t>Confidential — licensed for internal use by the purchasing organisation.</t>
        </is>
      </c>
    </row>
  </sheetData>
  <mergeCells count="12">
    <mergeCell ref="A9:H9"/>
    <mergeCell ref="A4:H4"/>
    <mergeCell ref="A12:H12"/>
    <mergeCell ref="A3:H3"/>
    <mergeCell ref="A7:H7"/>
    <mergeCell ref="A2:H2"/>
    <mergeCell ref="A10:H10"/>
    <mergeCell ref="A13:H13"/>
    <mergeCell ref="A11:H11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2026-09-20T16:10:35Z</dcterms:created>
  <dcterms:modified xsi:type="dcterms:W3CDTF">2026-09-20T16:10:35Z</dcterms:modified>
</cp:coreProperties>
</file>